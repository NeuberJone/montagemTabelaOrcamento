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neube\Desktop\Planilhas CMYK\Macros\"/>
    </mc:Choice>
  </mc:AlternateContent>
  <xr:revisionPtr revIDLastSave="0" documentId="8_{5F1D997F-CBD6-4568-9401-33FFB23BED5D}" xr6:coauthVersionLast="47" xr6:coauthVersionMax="47" xr10:uidLastSave="{00000000-0000-0000-0000-000000000000}"/>
  <bookViews>
    <workbookView xWindow="-120" yWindow="-120" windowWidth="29040" windowHeight="15840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Papel" sheetId="97" state="hidden" r:id="rId7"/>
    <sheet name="Extras" sheetId="98" state="hidden" r:id="rId8"/>
    <sheet name="Acabamentos" sheetId="99" state="hidden" r:id="rId9"/>
    <sheet name="Produtos" sheetId="100" state="hidden" r:id="rId10"/>
    <sheet name="Formatos" sheetId="101" state="hidden" r:id="rId11"/>
    <sheet name="DadosPapel" sheetId="102" state="hidden" r:id="rId12"/>
    <sheet name="Dados" sheetId="95" state="hidden" r:id="rId13"/>
  </sheets>
  <externalReferences>
    <externalReference r:id="rId14"/>
  </externalReferences>
  <definedNames>
    <definedName name="_xlnm.Print_Area" localSheetId="4">Especificações!$J$1:$K$47</definedName>
    <definedName name="_xlnm.Print_Area" localSheetId="5">PDF!$A$1:$I$44</definedName>
    <definedName name="Clichê" localSheetId="3">[1]!SelecionaCliche</definedName>
    <definedName name="Clichê">[1]!SelecionaCliche</definedName>
    <definedName name="DefineAcabamento" localSheetId="3">[1]!SelecionarAcabamento</definedName>
    <definedName name="DefineAcabamento">[1]!SelecionarAcabamento</definedName>
    <definedName name="DefineExtra" localSheetId="3">[1]!SelecionarExtra</definedName>
    <definedName name="DefineExtra">[1]!SelecionarExtra</definedName>
    <definedName name="DefineMilheiro" localSheetId="3">[1]!SelecionarMilheiro</definedName>
    <definedName name="DefineMilheiro">[1]!SelecionarMilheiro</definedName>
    <definedName name="Formato" localSheetId="3">[1]!SelecionarFormato</definedName>
    <definedName name="Formato">[1]!SelecionarFormato</definedName>
    <definedName name="PapelTipo" localSheetId="3">[1]!SelecionarPapel</definedName>
    <definedName name="PapelTipo">[1]!SelecionarPapel</definedName>
    <definedName name="PrimeiroEquipamento" localSheetId="3">[1]!SelecionarEquipamento1</definedName>
    <definedName name="PrimeiroEquipamento">[1]!SelecionarEquipamento1</definedName>
    <definedName name="SegundoEquipamento" localSheetId="3">[1]!SelecionarEquipamento2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" i="87" l="1"/>
  <c r="K11" i="87"/>
  <c r="I11" i="87"/>
  <c r="I14" i="86" l="1"/>
  <c r="I13" i="86"/>
  <c r="I12" i="86"/>
  <c r="I11" i="86"/>
  <c r="I10" i="86"/>
  <c r="E14" i="89"/>
  <c r="I14" i="89" s="1"/>
  <c r="E13" i="89"/>
  <c r="I13" i="89" s="1"/>
  <c r="E12" i="89"/>
  <c r="I12" i="89" s="1"/>
  <c r="E11" i="89"/>
  <c r="I11" i="89" s="1"/>
  <c r="E10" i="89"/>
  <c r="I10" i="89" s="1"/>
  <c r="E14" i="88"/>
  <c r="I14" i="88" s="1"/>
  <c r="I13" i="88"/>
  <c r="E13" i="88"/>
  <c r="E12" i="88"/>
  <c r="I12" i="88" s="1"/>
  <c r="E11" i="88"/>
  <c r="I11" i="88" s="1"/>
  <c r="E10" i="88"/>
  <c r="I10" i="88" s="1"/>
  <c r="I11" i="96"/>
  <c r="I12" i="96"/>
  <c r="I13" i="96"/>
  <c r="I14" i="96"/>
  <c r="E11" i="96"/>
  <c r="E12" i="96"/>
  <c r="E13" i="96"/>
  <c r="E14" i="96"/>
  <c r="E10" i="96"/>
  <c r="I10" i="96" s="1"/>
  <c r="O35" i="89"/>
  <c r="P35" i="89" s="1"/>
  <c r="O34" i="89"/>
  <c r="O33" i="89"/>
  <c r="O32" i="89"/>
  <c r="O31" i="89"/>
  <c r="O30" i="89"/>
  <c r="O29" i="89"/>
  <c r="O28" i="89"/>
  <c r="O27" i="89"/>
  <c r="P27" i="89" s="1"/>
  <c r="O35" i="88"/>
  <c r="O34" i="88"/>
  <c r="O33" i="88"/>
  <c r="O32" i="88"/>
  <c r="O31" i="88"/>
  <c r="O30" i="88"/>
  <c r="O29" i="88"/>
  <c r="O28" i="88"/>
  <c r="P28" i="88" s="1"/>
  <c r="O27" i="88"/>
  <c r="O28" i="96"/>
  <c r="O29" i="96"/>
  <c r="O30" i="96"/>
  <c r="O31" i="96"/>
  <c r="O32" i="96"/>
  <c r="O33" i="96"/>
  <c r="O34" i="96"/>
  <c r="O35" i="96"/>
  <c r="P35" i="96" s="1"/>
  <c r="O27" i="96"/>
  <c r="P27" i="96" s="1"/>
  <c r="C28" i="89"/>
  <c r="B28" i="89"/>
  <c r="C27" i="89"/>
  <c r="B27" i="89"/>
  <c r="C26" i="89"/>
  <c r="B26" i="89"/>
  <c r="C25" i="89"/>
  <c r="B25" i="89"/>
  <c r="J4" i="89" s="1"/>
  <c r="K4" i="89" s="1"/>
  <c r="C24" i="89"/>
  <c r="B24" i="89"/>
  <c r="J3" i="89" s="1"/>
  <c r="C28" i="88"/>
  <c r="B28" i="88"/>
  <c r="J7" i="88" s="1"/>
  <c r="K7" i="88" s="1"/>
  <c r="C27" i="88"/>
  <c r="B27" i="88"/>
  <c r="C26" i="88"/>
  <c r="B26" i="88"/>
  <c r="C25" i="88"/>
  <c r="B25" i="88"/>
  <c r="J4" i="88" s="1"/>
  <c r="K4" i="88" s="1"/>
  <c r="C24" i="88"/>
  <c r="B24" i="88"/>
  <c r="J3" i="88" s="1"/>
  <c r="C21" i="89"/>
  <c r="B21" i="89"/>
  <c r="C20" i="89"/>
  <c r="B20" i="89"/>
  <c r="C19" i="89"/>
  <c r="B19" i="89"/>
  <c r="H5" i="89" s="1"/>
  <c r="I5" i="89" s="1"/>
  <c r="C18" i="89"/>
  <c r="B18" i="89"/>
  <c r="H4" i="89" s="1"/>
  <c r="I4" i="89" s="1"/>
  <c r="C17" i="89"/>
  <c r="B17" i="89"/>
  <c r="H3" i="89" s="1"/>
  <c r="C21" i="88"/>
  <c r="B21" i="88"/>
  <c r="C20" i="88"/>
  <c r="B20" i="88"/>
  <c r="C19" i="88"/>
  <c r="B19" i="88"/>
  <c r="C18" i="88"/>
  <c r="B18" i="88"/>
  <c r="H4" i="88" s="1"/>
  <c r="I4" i="88" s="1"/>
  <c r="C17" i="88"/>
  <c r="B17" i="88"/>
  <c r="H3" i="88" s="1"/>
  <c r="I3" i="88" s="1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J6" i="96" s="1"/>
  <c r="K6" i="96" s="1"/>
  <c r="C27" i="96"/>
  <c r="B28" i="96"/>
  <c r="C28" i="96"/>
  <c r="C24" i="96"/>
  <c r="B24" i="96"/>
  <c r="J3" i="96" s="1"/>
  <c r="C18" i="96"/>
  <c r="C19" i="96"/>
  <c r="C20" i="96"/>
  <c r="C21" i="96"/>
  <c r="C17" i="96"/>
  <c r="B18" i="96"/>
  <c r="H4" i="96" s="1"/>
  <c r="I4" i="96" s="1"/>
  <c r="B19" i="96"/>
  <c r="B20" i="96"/>
  <c r="H6" i="96" s="1"/>
  <c r="I6" i="96" s="1"/>
  <c r="B21" i="96"/>
  <c r="B17" i="96"/>
  <c r="H3" i="96" s="1"/>
  <c r="B11" i="96"/>
  <c r="B12" i="96"/>
  <c r="B13" i="96"/>
  <c r="B14" i="96"/>
  <c r="B10" i="96"/>
  <c r="F35" i="94"/>
  <c r="F34" i="94"/>
  <c r="F33" i="94"/>
  <c r="F32" i="94"/>
  <c r="B35" i="94"/>
  <c r="B27" i="94"/>
  <c r="F35" i="96"/>
  <c r="H35" i="96" s="1"/>
  <c r="P34" i="96"/>
  <c r="R34" i="96" s="1" a="1"/>
  <c r="R34" i="96" s="1"/>
  <c r="F34" i="96"/>
  <c r="H34" i="96" s="1"/>
  <c r="P33" i="96"/>
  <c r="R33" i="96" s="1" a="1"/>
  <c r="R33" i="96" s="1"/>
  <c r="F33" i="96"/>
  <c r="H33" i="96" s="1"/>
  <c r="P32" i="96"/>
  <c r="S32" i="96" s="1" a="1"/>
  <c r="S32" i="96" s="1"/>
  <c r="F32" i="96"/>
  <c r="H32" i="96" s="1"/>
  <c r="C32" i="96"/>
  <c r="P31" i="96"/>
  <c r="R31" i="96" s="1" a="1"/>
  <c r="R31" i="96" s="1"/>
  <c r="F31" i="96"/>
  <c r="H31" i="96" s="1"/>
  <c r="F30" i="96"/>
  <c r="H30" i="96" s="1"/>
  <c r="F29" i="96"/>
  <c r="H29" i="96" s="1"/>
  <c r="P28" i="96"/>
  <c r="R28" i="96" s="1" a="1"/>
  <c r="R28" i="96" s="1"/>
  <c r="L28" i="96"/>
  <c r="F28" i="96"/>
  <c r="H28" i="96" s="1"/>
  <c r="F27" i="96"/>
  <c r="H27" i="96" s="1"/>
  <c r="F26" i="96"/>
  <c r="H26" i="96" s="1"/>
  <c r="F25" i="96"/>
  <c r="H25" i="96" s="1"/>
  <c r="K24" i="96"/>
  <c r="F24" i="96"/>
  <c r="H24" i="96" s="1"/>
  <c r="F23" i="96"/>
  <c r="H23" i="96" s="1"/>
  <c r="F22" i="96"/>
  <c r="H22" i="96" s="1"/>
  <c r="F21" i="96"/>
  <c r="H21" i="96" s="1"/>
  <c r="F20" i="96"/>
  <c r="H20" i="96" s="1"/>
  <c r="U19" i="96"/>
  <c r="F19" i="96"/>
  <c r="H19" i="96" s="1"/>
  <c r="F18" i="96"/>
  <c r="H18" i="96" s="1"/>
  <c r="F17" i="96"/>
  <c r="H17" i="96" s="1"/>
  <c r="U10" i="96"/>
  <c r="J7" i="96"/>
  <c r="K7" i="96" s="1"/>
  <c r="H7" i="96"/>
  <c r="I7" i="96" s="1"/>
  <c r="B7" i="96"/>
  <c r="B6" i="96"/>
  <c r="J5" i="96"/>
  <c r="K5" i="96" s="1"/>
  <c r="H5" i="96"/>
  <c r="I5" i="96" s="1"/>
  <c r="B5" i="96"/>
  <c r="J4" i="96"/>
  <c r="K4" i="96" s="1"/>
  <c r="B4" i="96"/>
  <c r="B3" i="96"/>
  <c r="B18" i="94"/>
  <c r="I5" i="87"/>
  <c r="I6" i="87"/>
  <c r="I7" i="87"/>
  <c r="I8" i="87"/>
  <c r="K9" i="87"/>
  <c r="P35" i="88"/>
  <c r="P34" i="88"/>
  <c r="P33" i="88"/>
  <c r="P32" i="88"/>
  <c r="P31" i="88"/>
  <c r="P30" i="88"/>
  <c r="P29" i="88"/>
  <c r="P27" i="88"/>
  <c r="P34" i="89"/>
  <c r="P33" i="89"/>
  <c r="P32" i="89"/>
  <c r="P31" i="89"/>
  <c r="P30" i="89"/>
  <c r="P29" i="89"/>
  <c r="P28" i="89"/>
  <c r="P27" i="86"/>
  <c r="P28" i="86"/>
  <c r="P29" i="86"/>
  <c r="P30" i="86"/>
  <c r="P31" i="86"/>
  <c r="P32" i="86"/>
  <c r="P33" i="86"/>
  <c r="P34" i="86"/>
  <c r="P35" i="86"/>
  <c r="B4" i="88"/>
  <c r="B5" i="88"/>
  <c r="B6" i="88"/>
  <c r="B7" i="88"/>
  <c r="B3" i="88"/>
  <c r="B4" i="89"/>
  <c r="B5" i="89"/>
  <c r="B6" i="89"/>
  <c r="B7" i="89"/>
  <c r="B3" i="89"/>
  <c r="B9" i="94"/>
  <c r="M4" i="87"/>
  <c r="K4" i="87"/>
  <c r="I4" i="87"/>
  <c r="F35" i="88"/>
  <c r="H35" i="88" s="1"/>
  <c r="F34" i="88"/>
  <c r="H34" i="88" s="1"/>
  <c r="F33" i="88"/>
  <c r="H33" i="88" s="1"/>
  <c r="F32" i="88"/>
  <c r="H32" i="88" s="1"/>
  <c r="C32" i="88"/>
  <c r="F31" i="88"/>
  <c r="H31" i="88" s="1"/>
  <c r="F30" i="88"/>
  <c r="H30" i="88" s="1"/>
  <c r="F29" i="88"/>
  <c r="H29" i="88" s="1"/>
  <c r="L28" i="88"/>
  <c r="F28" i="88"/>
  <c r="H28" i="88" s="1"/>
  <c r="F27" i="88"/>
  <c r="H27" i="88" s="1"/>
  <c r="F26" i="88"/>
  <c r="H26" i="88" s="1"/>
  <c r="F25" i="88"/>
  <c r="H25" i="88" s="1"/>
  <c r="K24" i="88"/>
  <c r="F24" i="88"/>
  <c r="H24" i="88" s="1"/>
  <c r="F23" i="88"/>
  <c r="H23" i="88" s="1"/>
  <c r="F22" i="88"/>
  <c r="H22" i="88" s="1"/>
  <c r="F21" i="88"/>
  <c r="H21" i="88" s="1"/>
  <c r="F20" i="88"/>
  <c r="H20" i="88" s="1"/>
  <c r="U19" i="88"/>
  <c r="F19" i="88"/>
  <c r="H19" i="88" s="1"/>
  <c r="F18" i="88"/>
  <c r="H18" i="88" s="1"/>
  <c r="F17" i="88"/>
  <c r="H17" i="88" s="1"/>
  <c r="U10" i="88"/>
  <c r="H7" i="88"/>
  <c r="I7" i="88" s="1"/>
  <c r="J6" i="88"/>
  <c r="K6" i="88" s="1"/>
  <c r="H6" i="88"/>
  <c r="I6" i="88" s="1"/>
  <c r="J5" i="88"/>
  <c r="K5" i="88" s="1"/>
  <c r="H5" i="88"/>
  <c r="I5" i="88" s="1"/>
  <c r="F35" i="89"/>
  <c r="H35" i="89" s="1"/>
  <c r="F34" i="89"/>
  <c r="H34" i="89" s="1"/>
  <c r="F33" i="89"/>
  <c r="H33" i="89" s="1"/>
  <c r="F32" i="89"/>
  <c r="H32" i="89" s="1"/>
  <c r="C32" i="89"/>
  <c r="F31" i="89"/>
  <c r="H31" i="89" s="1"/>
  <c r="F30" i="89"/>
  <c r="H30" i="89" s="1"/>
  <c r="F29" i="89"/>
  <c r="H29" i="89" s="1"/>
  <c r="L28" i="89"/>
  <c r="F28" i="89"/>
  <c r="H28" i="89" s="1"/>
  <c r="F27" i="89"/>
  <c r="H27" i="89" s="1"/>
  <c r="F26" i="89"/>
  <c r="H26" i="89" s="1"/>
  <c r="F25" i="89"/>
  <c r="H25" i="89" s="1"/>
  <c r="K24" i="89"/>
  <c r="F24" i="89"/>
  <c r="H24" i="89" s="1"/>
  <c r="F23" i="89"/>
  <c r="H23" i="89" s="1"/>
  <c r="F22" i="89"/>
  <c r="H22" i="89" s="1"/>
  <c r="F21" i="89"/>
  <c r="H21" i="89" s="1"/>
  <c r="F20" i="89"/>
  <c r="H20" i="89" s="1"/>
  <c r="U19" i="89"/>
  <c r="F19" i="89"/>
  <c r="H19" i="89" s="1"/>
  <c r="F18" i="89"/>
  <c r="H18" i="89" s="1"/>
  <c r="F17" i="89"/>
  <c r="H17" i="89" s="1"/>
  <c r="U10" i="89"/>
  <c r="J7" i="89"/>
  <c r="K7" i="89" s="1"/>
  <c r="H7" i="89"/>
  <c r="I7" i="89" s="1"/>
  <c r="J6" i="89"/>
  <c r="K6" i="89" s="1"/>
  <c r="H6" i="89"/>
  <c r="I6" i="89" s="1"/>
  <c r="J5" i="89"/>
  <c r="K5" i="89" s="1"/>
  <c r="C16" i="87"/>
  <c r="M5" i="87"/>
  <c r="K5" i="87"/>
  <c r="M7" i="87"/>
  <c r="M6" i="87"/>
  <c r="E11" i="87"/>
  <c r="C20" i="87"/>
  <c r="C18" i="87"/>
  <c r="U19" i="86"/>
  <c r="K8" i="87"/>
  <c r="K7" i="87"/>
  <c r="K6" i="87"/>
  <c r="F34" i="86"/>
  <c r="H34" i="86" s="1"/>
  <c r="F35" i="86"/>
  <c r="H35" i="86" s="1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J7" i="86"/>
  <c r="H7" i="86"/>
  <c r="J6" i="86"/>
  <c r="H6" i="86"/>
  <c r="J5" i="86"/>
  <c r="H5" i="86"/>
  <c r="J4" i="86"/>
  <c r="H4" i="86"/>
  <c r="J3" i="86"/>
  <c r="H3" i="86"/>
  <c r="C31" i="96" l="1"/>
  <c r="S31" i="96" a="1"/>
  <c r="S31" i="96" s="1"/>
  <c r="S28" i="96" a="1"/>
  <c r="S28" i="96" s="1"/>
  <c r="S33" i="96" a="1"/>
  <c r="S33" i="96" s="1"/>
  <c r="S34" i="96" a="1"/>
  <c r="S34" i="96" s="1"/>
  <c r="P30" i="96"/>
  <c r="R30" i="96" s="1" a="1"/>
  <c r="R30" i="96" s="1"/>
  <c r="S35" i="96" a="1"/>
  <c r="S35" i="96" s="1"/>
  <c r="R35" i="96" a="1"/>
  <c r="R35" i="96" s="1"/>
  <c r="R27" i="96" a="1"/>
  <c r="R27" i="96" s="1"/>
  <c r="S27" i="96" a="1"/>
  <c r="S27" i="96" s="1"/>
  <c r="P29" i="96"/>
  <c r="R29" i="96" s="1" a="1"/>
  <c r="R29" i="96" s="1"/>
  <c r="K3" i="89"/>
  <c r="K3" i="88"/>
  <c r="I3" i="89"/>
  <c r="K3" i="96"/>
  <c r="I3" i="96"/>
  <c r="R32" i="96" a="1"/>
  <c r="R32" i="96" s="1"/>
  <c r="B14" i="94"/>
  <c r="B12" i="94"/>
  <c r="B13" i="94"/>
  <c r="C31" i="88"/>
  <c r="C31" i="89"/>
  <c r="D3" i="94"/>
  <c r="B26" i="94"/>
  <c r="B25" i="94"/>
  <c r="B24" i="94"/>
  <c r="B34" i="94"/>
  <c r="B33" i="94"/>
  <c r="B32" i="94"/>
  <c r="B29" i="94"/>
  <c r="B21" i="94"/>
  <c r="B20" i="94"/>
  <c r="S29" i="96" l="1" a="1"/>
  <c r="S29" i="96" s="1"/>
  <c r="S30" i="96" a="1"/>
  <c r="S30" i="96" s="1"/>
  <c r="C33" i="96"/>
  <c r="K24" i="86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C32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B16" i="94" l="1"/>
  <c r="R27" i="88" l="1" a="1"/>
  <c r="R27" i="88" s="1"/>
  <c r="S32" i="89" a="1"/>
  <c r="S32" i="89" s="1"/>
  <c r="S35" i="88" a="1"/>
  <c r="S35" i="88" s="1"/>
  <c r="R31" i="88" a="1"/>
  <c r="R31" i="88" s="1"/>
  <c r="R35" i="88" a="1"/>
  <c r="R35" i="88" s="1"/>
  <c r="R35" i="89" a="1"/>
  <c r="R35" i="89" s="1"/>
  <c r="S34" i="88" a="1"/>
  <c r="S34" i="88" s="1"/>
  <c r="S29" i="88" a="1"/>
  <c r="S29" i="88" s="1"/>
  <c r="R34" i="89" a="1"/>
  <c r="R34" i="89" s="1"/>
  <c r="S28" i="86" a="1"/>
  <c r="S28" i="86" s="1"/>
  <c r="R29" i="88" a="1"/>
  <c r="R29" i="88" s="1"/>
  <c r="S33" i="88" a="1"/>
  <c r="S33" i="88" s="1"/>
  <c r="R33" i="89" a="1"/>
  <c r="R33" i="89" s="1"/>
  <c r="R27" i="89" a="1"/>
  <c r="R27" i="89" s="1"/>
  <c r="S28" i="88" a="1"/>
  <c r="S28" i="88" s="1"/>
  <c r="S34" i="86" a="1"/>
  <c r="S34" i="86" s="1"/>
  <c r="R31" i="89" a="1"/>
  <c r="R31" i="89" s="1"/>
  <c r="S31" i="89" a="1"/>
  <c r="S31" i="89" s="1"/>
  <c r="R32" i="88" a="1"/>
  <c r="R32" i="88" s="1"/>
  <c r="R33" i="88" a="1"/>
  <c r="R33" i="88" s="1"/>
  <c r="R29" i="89" a="1"/>
  <c r="R29" i="89" s="1"/>
  <c r="S31" i="88" a="1"/>
  <c r="S31" i="88" s="1"/>
  <c r="S29" i="89" a="1"/>
  <c r="S29" i="89" s="1"/>
  <c r="R28" i="89" a="1"/>
  <c r="R28" i="89" s="1"/>
  <c r="S35" i="86" a="1"/>
  <c r="S35" i="86" s="1"/>
  <c r="S27" i="89" a="1"/>
  <c r="S27" i="89" s="1"/>
  <c r="S31" i="86" a="1"/>
  <c r="S31" i="86" s="1"/>
  <c r="R30" i="89" a="1"/>
  <c r="R30" i="89" s="1"/>
  <c r="S32" i="88" a="1"/>
  <c r="S32" i="88" s="1"/>
  <c r="S27" i="86" a="1"/>
  <c r="S27" i="86" s="1"/>
  <c r="S33" i="86" a="1"/>
  <c r="S33" i="86" s="1"/>
  <c r="R32" i="89" a="1"/>
  <c r="R32" i="89" s="1"/>
  <c r="S32" i="86" a="1"/>
  <c r="S32" i="86" s="1"/>
  <c r="S28" i="89" a="1"/>
  <c r="S28" i="89" s="1"/>
  <c r="S30" i="89" a="1"/>
  <c r="S30" i="89" s="1"/>
  <c r="S27" i="88" a="1"/>
  <c r="S27" i="88" s="1"/>
  <c r="R28" i="88" a="1"/>
  <c r="R28" i="88" s="1"/>
  <c r="R30" i="88" a="1"/>
  <c r="R30" i="88" s="1"/>
  <c r="S34" i="89" a="1"/>
  <c r="S34" i="89" s="1"/>
  <c r="S35" i="89" a="1"/>
  <c r="S35" i="89" s="1"/>
  <c r="S29" i="86" a="1"/>
  <c r="S29" i="86" s="1"/>
  <c r="S33" i="89" a="1"/>
  <c r="S33" i="89" s="1"/>
  <c r="R34" i="88" a="1"/>
  <c r="R34" i="88" s="1"/>
  <c r="S30" i="88" a="1"/>
  <c r="S30" i="88" s="1"/>
  <c r="S30" i="86" a="1"/>
  <c r="S30" i="86" s="1"/>
  <c r="R31" i="86" a="1"/>
  <c r="R31" i="86" s="1"/>
  <c r="R27" i="86" a="1"/>
  <c r="R27" i="86" s="1"/>
  <c r="R30" i="86" a="1"/>
  <c r="R30" i="86" s="1"/>
  <c r="R32" i="86" a="1"/>
  <c r="R32" i="86" s="1"/>
  <c r="R28" i="86" a="1"/>
  <c r="R28" i="86" s="1"/>
  <c r="R29" i="86" a="1"/>
  <c r="R29" i="86" s="1"/>
  <c r="R35" i="86" a="1"/>
  <c r="R35" i="86" s="1"/>
  <c r="R33" i="86" a="1"/>
  <c r="R33" i="86" s="1"/>
  <c r="R34" i="86" a="1"/>
  <c r="R34" i="86" s="1"/>
  <c r="C33" i="86" l="1"/>
  <c r="C33" i="89"/>
  <c r="C33" i="88"/>
  <c r="B2" i="97" l="1" a="1"/>
  <c r="B2" i="97" s="1"/>
  <c r="E5" i="96"/>
  <c r="F5" i="96" s="1"/>
  <c r="G5" i="96" s="1"/>
  <c r="L5" i="96" s="1"/>
  <c r="E4" i="96"/>
  <c r="F4" i="96" s="1"/>
  <c r="G4" i="96" s="1"/>
  <c r="L4" i="96" s="1"/>
  <c r="E7" i="96"/>
  <c r="F7" i="96" s="1"/>
  <c r="G7" i="96" s="1"/>
  <c r="L7" i="96" s="1"/>
  <c r="E3" i="96"/>
  <c r="F3" i="96" s="1"/>
  <c r="G3" i="96" s="1"/>
  <c r="L3" i="96" s="1"/>
  <c r="E6" i="96"/>
  <c r="F6" i="96" s="1"/>
  <c r="G6" i="96" s="1"/>
  <c r="L6" i="96" s="1"/>
  <c r="E6" i="86"/>
  <c r="F6" i="86" s="1"/>
  <c r="G6" i="86" s="1"/>
  <c r="L6" i="86" s="1"/>
  <c r="E5" i="86"/>
  <c r="F5" i="86" s="1"/>
  <c r="G5" i="86" s="1"/>
  <c r="L5" i="86" s="1"/>
  <c r="D9" i="87"/>
  <c r="E3" i="86"/>
  <c r="F3" i="86" s="1"/>
  <c r="G3" i="86" s="1"/>
  <c r="L3" i="86" s="1"/>
  <c r="E4" i="88"/>
  <c r="F4" i="88" s="1"/>
  <c r="G4" i="88" s="1"/>
  <c r="L4" i="88" s="1"/>
  <c r="E3" i="88"/>
  <c r="F3" i="88" s="1"/>
  <c r="G3" i="88" s="1"/>
  <c r="L3" i="88" s="1"/>
  <c r="E4" i="89"/>
  <c r="F4" i="89" s="1"/>
  <c r="G4" i="89" s="1"/>
  <c r="L4" i="89" s="1"/>
  <c r="E7" i="88"/>
  <c r="F7" i="88" s="1"/>
  <c r="G7" i="88" s="1"/>
  <c r="L7" i="88" s="1"/>
  <c r="E6" i="88"/>
  <c r="F6" i="88" s="1"/>
  <c r="G6" i="88" s="1"/>
  <c r="L6" i="88" s="1"/>
  <c r="E7" i="86"/>
  <c r="F7" i="86" s="1"/>
  <c r="G7" i="86" s="1"/>
  <c r="L7" i="86" s="1"/>
  <c r="E7" i="89"/>
  <c r="F7" i="89" s="1"/>
  <c r="G7" i="89" s="1"/>
  <c r="L7" i="89" s="1"/>
  <c r="E6" i="89"/>
  <c r="F6" i="89" s="1"/>
  <c r="G6" i="89" s="1"/>
  <c r="L6" i="89" s="1"/>
  <c r="E4" i="86"/>
  <c r="F4" i="86" s="1"/>
  <c r="G4" i="86" s="1"/>
  <c r="L4" i="86" s="1"/>
  <c r="E3" i="89"/>
  <c r="F3" i="89" s="1"/>
  <c r="G3" i="89" s="1"/>
  <c r="L3" i="89" s="1"/>
  <c r="E5" i="88"/>
  <c r="F5" i="88" s="1"/>
  <c r="G5" i="88" s="1"/>
  <c r="L5" i="88" s="1"/>
  <c r="E5" i="89"/>
  <c r="F5" i="89" s="1"/>
  <c r="G5" i="89" s="1"/>
  <c r="L5" i="89" s="1"/>
  <c r="C30" i="88" l="1"/>
  <c r="C30" i="96"/>
  <c r="C30" i="89"/>
  <c r="C30" i="86"/>
  <c r="I10" i="87"/>
  <c r="K10" i="87"/>
  <c r="B17" i="94" s="1"/>
  <c r="M8" i="87"/>
  <c r="B15" i="94" s="1"/>
  <c r="L32" i="86" l="1"/>
  <c r="L33" i="86" s="1" a="1"/>
  <c r="L33" i="86" s="1"/>
  <c r="L31" i="86" s="1"/>
  <c r="C34" i="86"/>
  <c r="L32" i="89"/>
  <c r="L33" i="89" s="1" a="1"/>
  <c r="L33" i="89" s="1"/>
  <c r="L31" i="89" s="1"/>
  <c r="C34" i="89"/>
  <c r="C34" i="96"/>
  <c r="L32" i="96"/>
  <c r="L33" i="96" s="1" a="1"/>
  <c r="L33" i="96" s="1"/>
  <c r="L31" i="96" s="1"/>
  <c r="L32" i="88"/>
  <c r="L33" i="88" s="1" a="1"/>
  <c r="L33" i="88" s="1"/>
  <c r="L31" i="88" s="1"/>
  <c r="C34" i="88"/>
  <c r="L34" i="86" l="1"/>
  <c r="S20" i="88"/>
  <c r="S10" i="88"/>
  <c r="S5" i="88"/>
  <c r="S19" i="88"/>
  <c r="S15" i="88"/>
  <c r="S16" i="88"/>
  <c r="S6" i="88"/>
  <c r="S12" i="88"/>
  <c r="L35" i="88"/>
  <c r="S11" i="88"/>
  <c r="S21" i="88"/>
  <c r="S8" i="88"/>
  <c r="S18" i="88"/>
  <c r="S14" i="88"/>
  <c r="S9" i="88"/>
  <c r="S7" i="88"/>
  <c r="S17" i="88"/>
  <c r="S4" i="88"/>
  <c r="L22" i="88"/>
  <c r="S23" i="88"/>
  <c r="S3" i="88"/>
  <c r="S22" i="88"/>
  <c r="S18" i="96"/>
  <c r="S11" i="96"/>
  <c r="S9" i="96"/>
  <c r="S6" i="96"/>
  <c r="S5" i="96"/>
  <c r="L35" i="96"/>
  <c r="S10" i="96"/>
  <c r="S16" i="96"/>
  <c r="S14" i="96"/>
  <c r="S19" i="96"/>
  <c r="S15" i="96"/>
  <c r="S21" i="96"/>
  <c r="S7" i="96"/>
  <c r="S8" i="96"/>
  <c r="S17" i="96"/>
  <c r="S3" i="96"/>
  <c r="S22" i="96"/>
  <c r="L34" i="96"/>
  <c r="S23" i="96"/>
  <c r="S20" i="96"/>
  <c r="S12" i="96"/>
  <c r="S4" i="96"/>
  <c r="L22" i="96"/>
  <c r="L34" i="88"/>
  <c r="L34" i="89"/>
  <c r="S16" i="89"/>
  <c r="S19" i="89"/>
  <c r="L35" i="89"/>
  <c r="S7" i="89"/>
  <c r="S22" i="89"/>
  <c r="L22" i="89"/>
  <c r="S15" i="89"/>
  <c r="S17" i="89"/>
  <c r="S20" i="89"/>
  <c r="S3" i="89"/>
  <c r="S14" i="89"/>
  <c r="S10" i="89"/>
  <c r="S5" i="89"/>
  <c r="S9" i="89"/>
  <c r="S4" i="89"/>
  <c r="S8" i="89"/>
  <c r="S18" i="89"/>
  <c r="S23" i="89"/>
  <c r="S21" i="89"/>
  <c r="S12" i="89"/>
  <c r="S6" i="89"/>
  <c r="S11" i="89"/>
  <c r="S12" i="86"/>
  <c r="S19" i="86"/>
  <c r="S4" i="86"/>
  <c r="S16" i="86"/>
  <c r="S15" i="86"/>
  <c r="S18" i="86"/>
  <c r="S21" i="86"/>
  <c r="S22" i="86"/>
  <c r="L22" i="86"/>
  <c r="S8" i="86"/>
  <c r="L35" i="86"/>
  <c r="S10" i="86"/>
  <c r="S14" i="86"/>
  <c r="S9" i="86"/>
  <c r="S17" i="86"/>
  <c r="S7" i="86"/>
  <c r="S3" i="86"/>
  <c r="S20" i="86"/>
  <c r="S11" i="86"/>
  <c r="S6" i="86"/>
  <c r="S5" i="86"/>
  <c r="S23" i="86"/>
  <c r="Q17" i="86" l="1"/>
  <c r="Q5" i="86"/>
  <c r="L21" i="86"/>
  <c r="Q9" i="86"/>
  <c r="Q16" i="86"/>
  <c r="L26" i="86"/>
  <c r="Q6" i="86"/>
  <c r="Q7" i="86"/>
  <c r="K16" i="87"/>
  <c r="Q4" i="86"/>
  <c r="D24" i="94"/>
  <c r="Q20" i="86"/>
  <c r="Q3" i="86"/>
  <c r="Q19" i="86"/>
  <c r="Q23" i="86"/>
  <c r="Q18" i="86"/>
  <c r="Q21" i="86"/>
  <c r="Q12" i="86"/>
  <c r="Q11" i="86"/>
  <c r="Q22" i="86"/>
  <c r="Q15" i="86"/>
  <c r="Q14" i="86"/>
  <c r="Q8" i="86"/>
  <c r="L20" i="86"/>
  <c r="Q10" i="86"/>
  <c r="D25" i="94"/>
  <c r="K19" i="87"/>
  <c r="Q23" i="89"/>
  <c r="Q22" i="89"/>
  <c r="Q4" i="89"/>
  <c r="L20" i="89"/>
  <c r="Q12" i="89"/>
  <c r="Q7" i="89"/>
  <c r="Q20" i="89"/>
  <c r="Q15" i="89"/>
  <c r="Q18" i="89"/>
  <c r="Q16" i="89"/>
  <c r="Q17" i="89"/>
  <c r="Q8" i="89"/>
  <c r="Q9" i="89"/>
  <c r="Q10" i="89"/>
  <c r="Q19" i="89"/>
  <c r="Q3" i="89"/>
  <c r="Q21" i="89"/>
  <c r="Q5" i="89"/>
  <c r="L21" i="89"/>
  <c r="Q11" i="89"/>
  <c r="L26" i="89"/>
  <c r="Q14" i="89"/>
  <c r="Q6" i="89"/>
  <c r="D27" i="94"/>
  <c r="Q10" i="96"/>
  <c r="Q3" i="96"/>
  <c r="L21" i="96"/>
  <c r="L20" i="96"/>
  <c r="Q20" i="96"/>
  <c r="Q16" i="96"/>
  <c r="Q18" i="96"/>
  <c r="Q17" i="96"/>
  <c r="Q7" i="96"/>
  <c r="L26" i="96"/>
  <c r="Q4" i="96"/>
  <c r="Q6" i="96"/>
  <c r="Q14" i="96"/>
  <c r="Q11" i="96"/>
  <c r="Q15" i="96"/>
  <c r="Q22" i="96"/>
  <c r="Q5" i="96"/>
  <c r="Q23" i="96"/>
  <c r="Q21" i="96"/>
  <c r="Q12" i="96"/>
  <c r="Q9" i="96"/>
  <c r="Q8" i="96"/>
  <c r="Q19" i="96"/>
  <c r="Q9" i="88"/>
  <c r="Q6" i="88"/>
  <c r="L26" i="88"/>
  <c r="Q19" i="88"/>
  <c r="L21" i="88"/>
  <c r="Q20" i="88"/>
  <c r="K22" i="87"/>
  <c r="Q14" i="88"/>
  <c r="Q7" i="88"/>
  <c r="Q21" i="88"/>
  <c r="D26" i="94"/>
  <c r="Q16" i="88"/>
  <c r="Q11" i="88"/>
  <c r="Q17" i="88"/>
  <c r="Q12" i="88"/>
  <c r="Q5" i="88"/>
  <c r="Q15" i="88"/>
  <c r="Q8" i="88"/>
  <c r="Q4" i="88"/>
  <c r="Q18" i="88"/>
  <c r="Q23" i="88"/>
  <c r="Q10" i="88"/>
  <c r="Q22" i="88"/>
  <c r="Q3" i="88"/>
  <c r="L20" i="88"/>
  <c r="P17" i="88" l="1"/>
  <c r="O17" i="88"/>
  <c r="O14" i="96"/>
  <c r="P14" i="96"/>
  <c r="P9" i="89"/>
  <c r="O9" i="89"/>
  <c r="O18" i="86"/>
  <c r="P18" i="86"/>
  <c r="P11" i="88"/>
  <c r="O11" i="88"/>
  <c r="U6" i="96"/>
  <c r="G27" i="94"/>
  <c r="O8" i="86"/>
  <c r="P8" i="86"/>
  <c r="P21" i="96"/>
  <c r="O21" i="96"/>
  <c r="P4" i="88"/>
  <c r="O4" i="88"/>
  <c r="L25" i="88"/>
  <c r="K33" i="87"/>
  <c r="L24" i="88"/>
  <c r="D34" i="94"/>
  <c r="O23" i="96"/>
  <c r="P23" i="96"/>
  <c r="D35" i="94"/>
  <c r="L24" i="96"/>
  <c r="L25" i="96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P20" i="88"/>
  <c r="O20" i="88"/>
  <c r="P20" i="96"/>
  <c r="O20" i="96"/>
  <c r="P7" i="86"/>
  <c r="O7" i="86"/>
  <c r="U5" i="88"/>
  <c r="H26" i="94"/>
  <c r="U18" i="88"/>
  <c r="O11" i="89"/>
  <c r="P11" i="89"/>
  <c r="O23" i="86"/>
  <c r="P23" i="86"/>
  <c r="P18" i="88"/>
  <c r="O18" i="88"/>
  <c r="O16" i="88"/>
  <c r="P16" i="88"/>
  <c r="O19" i="88"/>
  <c r="P19" i="88"/>
  <c r="O4" i="96"/>
  <c r="P4" i="96"/>
  <c r="H27" i="94"/>
  <c r="U5" i="96"/>
  <c r="U18" i="96"/>
  <c r="U5" i="89"/>
  <c r="U18" i="89"/>
  <c r="H25" i="94"/>
  <c r="O17" i="89"/>
  <c r="P17" i="89"/>
  <c r="O4" i="89"/>
  <c r="P4" i="89"/>
  <c r="P14" i="86"/>
  <c r="O14" i="86"/>
  <c r="P19" i="86"/>
  <c r="O19" i="86"/>
  <c r="L25" i="86"/>
  <c r="L24" i="86"/>
  <c r="K27" i="87"/>
  <c r="D32" i="94"/>
  <c r="P8" i="88"/>
  <c r="O8" i="88"/>
  <c r="O21" i="88"/>
  <c r="P21" i="88"/>
  <c r="O6" i="88"/>
  <c r="P6" i="88"/>
  <c r="O5" i="96"/>
  <c r="P5" i="96"/>
  <c r="O7" i="96"/>
  <c r="P7" i="96"/>
  <c r="P10" i="96"/>
  <c r="O10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K30" i="87"/>
  <c r="L25" i="89"/>
  <c r="D33" i="94"/>
  <c r="O12" i="89"/>
  <c r="P12" i="89"/>
  <c r="O23" i="88"/>
  <c r="P23" i="88"/>
  <c r="P6" i="96"/>
  <c r="O6" i="96"/>
  <c r="G25" i="94"/>
  <c r="U6" i="89"/>
  <c r="G26" i="94"/>
  <c r="U6" i="88"/>
  <c r="O15" i="88"/>
  <c r="P15" i="88"/>
  <c r="P7" i="88"/>
  <c r="O7" i="88"/>
  <c r="O9" i="88"/>
  <c r="P9" i="88"/>
  <c r="O22" i="96"/>
  <c r="P22" i="96"/>
  <c r="P17" i="96"/>
  <c r="O17" i="96"/>
  <c r="O3" i="89"/>
  <c r="P3" i="89"/>
  <c r="O15" i="89"/>
  <c r="P15" i="89"/>
  <c r="O11" i="86"/>
  <c r="P11" i="86"/>
  <c r="U18" i="86"/>
  <c r="H24" i="94"/>
  <c r="U5" i="86"/>
  <c r="O12" i="96"/>
  <c r="P12" i="96"/>
  <c r="P8" i="89"/>
  <c r="O8" i="89"/>
  <c r="O6" i="86"/>
  <c r="P6" i="86"/>
  <c r="P3" i="88"/>
  <c r="O3" i="88"/>
  <c r="P5" i="88"/>
  <c r="O5" i="88"/>
  <c r="O14" i="88"/>
  <c r="P14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O10" i="88"/>
  <c r="P10" i="88"/>
  <c r="U6" i="86"/>
  <c r="G24" i="94"/>
  <c r="P22" i="88"/>
  <c r="O22" i="88"/>
  <c r="P12" i="88"/>
  <c r="O12" i="88"/>
  <c r="O8" i="96"/>
  <c r="P8" i="96"/>
  <c r="P11" i="96"/>
  <c r="O11" i="96"/>
  <c r="P16" i="96"/>
  <c r="O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I23" i="87" l="1"/>
  <c r="M23" i="87"/>
  <c r="I20" i="87"/>
  <c r="K23" i="87"/>
  <c r="M20" i="87"/>
  <c r="K20" i="87"/>
  <c r="G32" i="94"/>
  <c r="U13" i="86"/>
  <c r="I22" i="87"/>
  <c r="M22" i="87"/>
  <c r="H33" i="94"/>
  <c r="U12" i="89"/>
  <c r="U12" i="86"/>
  <c r="H32" i="94"/>
  <c r="U13" i="88"/>
  <c r="G34" i="94"/>
  <c r="I17" i="87"/>
  <c r="K17" i="87"/>
  <c r="M17" i="87"/>
  <c r="H35" i="94"/>
  <c r="U12" i="96"/>
  <c r="U12" i="88"/>
  <c r="H34" i="94"/>
  <c r="G33" i="94"/>
  <c r="U13" i="89"/>
  <c r="I19" i="87"/>
  <c r="M19" i="87"/>
  <c r="U13" i="96"/>
  <c r="G35" i="94"/>
  <c r="I16" i="87"/>
  <c r="M16" i="87"/>
  <c r="K28" i="87" l="1"/>
  <c r="M28" i="87"/>
  <c r="I28" i="87"/>
  <c r="M34" i="87"/>
  <c r="K34" i="87"/>
  <c r="I34" i="87"/>
  <c r="I30" i="87"/>
  <c r="M30" i="87"/>
  <c r="I33" i="87"/>
  <c r="M33" i="87"/>
  <c r="M27" i="87"/>
  <c r="I27" i="87"/>
  <c r="K31" i="87"/>
  <c r="M31" i="87"/>
  <c r="I31" i="8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<sst xmlns="http://schemas.openxmlformats.org/spreadsheetml/2006/main" count="305" uniqueCount="91">
  <si>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</si>
  <si>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</si>
  <si>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</si>
  <si>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</si>
  <si>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</si>
  <si>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</si>
  <si>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</si>
  <si>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</si>
  <si>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</si>
  <si>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</si>
  <si>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</si>
  <si>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</si>
  <si>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</si>
  <si>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</si>
  <si>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</si>
  <si>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</si>
  <si>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</si>
  <si>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</si>
  <si>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</si>
  <si>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</si>
  <si>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</si>
  <si>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</si>
  <si>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</si>
  <si>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</si>
  <si>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</si>
  <si>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</si>
  <si>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</si>
  <si>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Alça de Nylon (consultar cores disponíveis)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</si>
  <si>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</si>
  <si>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</si>
  <si>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</si>
  <si>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</si>
  <si>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</si>
  <si>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</si>
  <si>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</si>
  <si>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</si>
  <si>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</si>
  <si>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</si>
  <si>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</si>
  <si>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</si>
  <si>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</si>
  <si>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</si>
  <si>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</si>
  <si>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</si>
  <si>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</si>
  <si>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</si>
  <si>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</si>
  <si>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</si>
  <si>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</si>
  <si>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</si>
  <si>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</si>
  <si>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</si>
  <si>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>Previsão X dias úteis após confirmação da arte e pagamento</t>
  </si>
  <si>
    <t xml:space="preserve">Observações: </t>
  </si>
  <si>
    <t>Clichê</t>
  </si>
  <si>
    <t>Valor Clichê</t>
  </si>
  <si>
    <t>Valor Final</t>
  </si>
  <si>
    <t>OBS</t>
  </si>
  <si>
    <t>Extra 3</t>
  </si>
  <si>
    <t>Tipo de Material</t>
  </si>
  <si>
    <t>Soma HotStamping</t>
  </si>
  <si>
    <t>Papel</t>
  </si>
  <si>
    <t>Especificações</t>
  </si>
  <si>
    <t>Nome do Material</t>
  </si>
  <si>
    <t>Tipos</t>
  </si>
  <si>
    <t>Tipos de Material</t>
  </si>
  <si>
    <t>Sacola</t>
  </si>
  <si>
    <t>Envelope</t>
  </si>
  <si>
    <t>Largura</t>
  </si>
  <si>
    <t>Altura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</si>
  <si>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</si>
  <si>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</si>
  <si>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</si>
  <si>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</si>
  <si>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</si>
  <si>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</si>
  <si>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</si>
  <si>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</si>
  <si>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</si>
  <si>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</si>
  <si>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</si>
  <si>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</si>
  <si>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</si>
  <si>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</si>
  <si>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Sacolas</t>
  </si>
  <si>
    <t>Blocos</t>
  </si>
  <si>
    <t>Outros Materiais</t>
  </si>
  <si>
    <t>Dados</t>
  </si>
  <si>
    <t>Não se aplica</t>
  </si>
  <si>
    <t>|------------------------------------------------------------------------------|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</si>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</sst>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2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right" vertical="center"/>
    </xf>
    <xf numFmtId="0" fontId="0" fillId="0" borderId="11" xfId="0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/>
    <xf numFmtId="0" fontId="0" fillId="0" borderId="17" xfId="0" applyBorder="1"/>
    <xf numFmtId="0" fontId="0" fillId="0" borderId="23" xfId="0" applyBorder="1"/>
    <xf numFmtId="0" fontId="0" fillId="0" borderId="24" xfId="0" applyBorder="1"/>
    <xf numFmtId="44" fontId="0" fillId="0" borderId="0" xfId="2" applyFont="1" applyAlignment="1">
      <alignment horizontal="right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23" xfId="0" applyBorder="1" applyProtection="1">
      <protection locked="0"/>
    </xf>
    <xf numFmtId="0" fontId="10" fillId="0" borderId="23" xfId="0" applyFont="1" applyBorder="1" applyProtection="1">
      <protection locked="0"/>
    </xf>
    <xf numFmtId="0" fontId="0" fillId="0" borderId="23" xfId="0" applyBorder="1" applyAlignment="1">
      <alignment horizont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18" xfId="0" applyBorder="1" applyAlignment="1" applyProtection="1">
      <alignment horizontal="center"/>
      <protection locked="0"/>
    </xf>
    <xf numFmtId="0" fontId="0" fillId="11" borderId="11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44" fontId="0" fillId="0" borderId="1" xfId="2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8" fillId="7" borderId="0" xfId="3" applyAlignment="1">
      <alignment horizontal="center" vertical="center"/>
    </xf>
    <xf numFmtId="44" fontId="7" fillId="0" borderId="1" xfId="2" applyFont="1" applyBorder="1" applyAlignment="1">
      <alignment horizontal="center" vertical="center"/>
    </xf>
    <xf numFmtId="168" fontId="15" fillId="0" borderId="0" xfId="8" applyNumberFormat="1" applyFont="1">
      <alignment horizontal="left" vertical="center"/>
    </xf>
    <xf numFmtId="0" fontId="9" fillId="9" borderId="0" xfId="5" applyAlignment="1">
      <alignment horizontal="center"/>
    </xf>
    <xf numFmtId="0" fontId="0" fillId="0" borderId="0" xfId="0" applyAlignment="1">
      <alignment horizontal="right"/>
    </xf>
    <xf numFmtId="0" fontId="16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5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55"/>
      <tableStyleElement type="headerRow" dxfId="54"/>
      <tableStyleElement type="total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612616</xdr:colOff>
      <xdr:row>1</xdr:row>
      <xdr:rowOff>151038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1A2EE19-1A9C-4B91-8B0B-DE154F9EF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98718" cy="790574"/>
        </a:xfrm>
        <a:prstGeom prst="rect">
          <a:avLst/>
        </a:prstGeom>
      </xdr:spPr>
    </xdr:pic>
    <xdr:clientData/>
  </xdr:twoCellAnchor>
  <xdr:oneCellAnchor>
    <xdr:from>
      <xdr:col>5</xdr:col>
      <xdr:colOff>142875</xdr:colOff>
      <xdr:row>0</xdr:row>
      <xdr:rowOff>183697</xdr:rowOff>
    </xdr:from>
    <xdr:ext cx="2533651" cy="26456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535E5C6-EAFF-48AB-BAD6-32DFB1EAAA18}"/>
            </a:ext>
          </a:extLst>
        </xdr:cNvPr>
        <xdr:cNvSpPr txBox="1"/>
      </xdr:nvSpPr>
      <xdr:spPr>
        <a:xfrm>
          <a:off x="2833688" y="18369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6</xdr:col>
      <xdr:colOff>396801</xdr:colOff>
      <xdr:row>0</xdr:row>
      <xdr:rowOff>393247</xdr:rowOff>
    </xdr:from>
    <xdr:ext cx="1708225" cy="26456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5DECEF59-73D5-4566-AF19-15411BC97C9D}"/>
            </a:ext>
          </a:extLst>
        </xdr:cNvPr>
        <xdr:cNvSpPr txBox="1"/>
      </xdr:nvSpPr>
      <xdr:spPr>
        <a:xfrm>
          <a:off x="3659114" y="39324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  <xdr:twoCellAnchor>
    <xdr:from>
      <xdr:col>2</xdr:col>
      <xdr:colOff>6805</xdr:colOff>
      <xdr:row>4</xdr:row>
      <xdr:rowOff>6806</xdr:rowOff>
    </xdr:from>
    <xdr:to>
      <xdr:col>6</xdr:col>
      <xdr:colOff>6804</xdr:colOff>
      <xdr:row>4</xdr:row>
      <xdr:rowOff>190500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D633FCDE-AD4B-6B88-1CB1-5ED75803E07D}"/>
            </a:ext>
          </a:extLst>
        </xdr:cNvPr>
        <xdr:cNvSpPr/>
      </xdr:nvSpPr>
      <xdr:spPr>
        <a:xfrm>
          <a:off x="664896" y="1318658"/>
          <a:ext cx="2835851" cy="1836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108857</xdr:colOff>
      <xdr:row>3</xdr:row>
      <xdr:rowOff>156482</xdr:rowOff>
    </xdr:from>
    <xdr:ext cx="624210" cy="264560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83471B49-21DD-A7F5-DF80-E13CE22DCDDD}"/>
            </a:ext>
          </a:extLst>
        </xdr:cNvPr>
        <xdr:cNvSpPr txBox="1"/>
      </xdr:nvSpPr>
      <xdr:spPr>
        <a:xfrm>
          <a:off x="108857" y="1277834"/>
          <a:ext cx="6242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Cliente:</a:t>
          </a:r>
        </a:p>
      </xdr:txBody>
    </xdr:sp>
    <xdr:clientData/>
  </xdr:oneCellAnchor>
  <xdr:oneCellAnchor>
    <xdr:from>
      <xdr:col>6</xdr:col>
      <xdr:colOff>543085</xdr:colOff>
      <xdr:row>3</xdr:row>
      <xdr:rowOff>144576</xdr:rowOff>
    </xdr:from>
    <xdr:ext cx="902941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69366A41-7B51-4BC6-96C9-0FB5BF6CBA35}"/>
            </a:ext>
          </a:extLst>
        </xdr:cNvPr>
        <xdr:cNvSpPr txBox="1"/>
      </xdr:nvSpPr>
      <xdr:spPr>
        <a:xfrm>
          <a:off x="4269741" y="1269717"/>
          <a:ext cx="9029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r"/>
          <a:r>
            <a:rPr lang="pt-BR" sz="1100"/>
            <a:t>Proposta nº:</a:t>
          </a:r>
        </a:p>
      </xdr:txBody>
    </xdr:sp>
    <xdr:clientData/>
  </xdr:oneCellAnchor>
  <xdr:twoCellAnchor>
    <xdr:from>
      <xdr:col>7</xdr:col>
      <xdr:colOff>494109</xdr:colOff>
      <xdr:row>4</xdr:row>
      <xdr:rowOff>6803</xdr:rowOff>
    </xdr:from>
    <xdr:to>
      <xdr:col>8</xdr:col>
      <xdr:colOff>679738</xdr:colOff>
      <xdr:row>4</xdr:row>
      <xdr:rowOff>190497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A89EF3D5-B304-4F0D-A09F-D49CBEE99C46}"/>
            </a:ext>
          </a:extLst>
        </xdr:cNvPr>
        <xdr:cNvSpPr/>
      </xdr:nvSpPr>
      <xdr:spPr>
        <a:xfrm>
          <a:off x="5107781" y="1322444"/>
          <a:ext cx="870238" cy="1836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6805</xdr:colOff>
      <xdr:row>5</xdr:row>
      <xdr:rowOff>135222</xdr:rowOff>
    </xdr:from>
    <xdr:to>
      <xdr:col>4</xdr:col>
      <xdr:colOff>6185</xdr:colOff>
      <xdr:row>6</xdr:row>
      <xdr:rowOff>128416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4DE795AF-6A24-4C23-86B9-16E3BC9ACD38}"/>
            </a:ext>
          </a:extLst>
        </xdr:cNvPr>
        <xdr:cNvSpPr/>
      </xdr:nvSpPr>
      <xdr:spPr>
        <a:xfrm>
          <a:off x="661649" y="1641363"/>
          <a:ext cx="1463849" cy="1836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oneCellAnchor>
    <xdr:from>
      <xdr:col>1</xdr:col>
      <xdr:colOff>303719</xdr:colOff>
      <xdr:row>5</xdr:row>
      <xdr:rowOff>107386</xdr:rowOff>
    </xdr:from>
    <xdr:ext cx="429348" cy="264560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75E95D2-376A-416B-9376-F533F1933F15}"/>
            </a:ext>
          </a:extLst>
        </xdr:cNvPr>
        <xdr:cNvSpPr txBox="1"/>
      </xdr:nvSpPr>
      <xdr:spPr>
        <a:xfrm>
          <a:off x="303719" y="1613527"/>
          <a:ext cx="42934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Tel.:</a:t>
          </a:r>
        </a:p>
      </xdr:txBody>
    </xdr:sp>
    <xdr:clientData/>
  </xdr:oneCellAnchor>
  <xdr:twoCellAnchor>
    <xdr:from>
      <xdr:col>4</xdr:col>
      <xdr:colOff>677271</xdr:colOff>
      <xdr:row>5</xdr:row>
      <xdr:rowOff>133365</xdr:rowOff>
    </xdr:from>
    <xdr:to>
      <xdr:col>8</xdr:col>
      <xdr:colOff>679738</xdr:colOff>
      <xdr:row>6</xdr:row>
      <xdr:rowOff>126559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27509E8-B275-4E47-8A49-AB3F7A548103}"/>
            </a:ext>
          </a:extLst>
        </xdr:cNvPr>
        <xdr:cNvSpPr/>
      </xdr:nvSpPr>
      <xdr:spPr>
        <a:xfrm>
          <a:off x="2796584" y="1639506"/>
          <a:ext cx="2740904" cy="1836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141795</xdr:colOff>
      <xdr:row>5</xdr:row>
      <xdr:rowOff>105529</xdr:rowOff>
    </xdr:from>
    <xdr:ext cx="536301" cy="264560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72F61A9A-07D6-4B1F-920A-503FBC87D2A3}"/>
            </a:ext>
          </a:extLst>
        </xdr:cNvPr>
        <xdr:cNvSpPr txBox="1"/>
      </xdr:nvSpPr>
      <xdr:spPr>
        <a:xfrm>
          <a:off x="2225389" y="1611670"/>
          <a:ext cx="5363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Email: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file:///G:\Drives%20compartilhados\Produtos\Or&#231;amento\Tabela%20Or&#231;amento\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>
        <row r="2">
          <cell r="B2" t="str">
            <v>Papéis</v>
          </cell>
        </row>
        <row r="3">
          <cell r="B3" t="str">
            <v>ID</v>
          </cell>
          <cell r="C3" t="str">
            <v>Papel</v>
          </cell>
          <cell r="D3" t="str">
            <v>Formato Papel</v>
          </cell>
          <cell r="E3" t="str">
            <v>Folhas</v>
          </cell>
          <cell r="F3" t="str">
            <v>Preço Pacote</v>
          </cell>
          <cell r="G3" t="str">
            <v>Preço Folha</v>
          </cell>
        </row>
        <row r="4">
          <cell r="B4" t="str">
            <v>Alto Copiativo 1 cb - 66 x 96 c/ 250fls</v>
          </cell>
          <cell r="C4" t="str">
            <v>Alto Copiativo 1 cb</v>
          </cell>
          <cell r="D4" t="str">
            <v>66 x 96</v>
          </cell>
          <cell r="E4">
            <v>250</v>
          </cell>
          <cell r="F4">
            <v>195</v>
          </cell>
          <cell r="G4">
            <v>0.78</v>
          </cell>
        </row>
        <row r="5">
          <cell r="B5" t="str">
            <v>Alto Copiativo 2 cfb - 66 x 96 c/ 250fls</v>
          </cell>
          <cell r="C5" t="str">
            <v>Alto Copiativo 2 cfb</v>
          </cell>
          <cell r="D5" t="str">
            <v>66 x 96</v>
          </cell>
          <cell r="E5">
            <v>250</v>
          </cell>
          <cell r="F5">
            <v>231</v>
          </cell>
          <cell r="G5">
            <v>0.92400000000000004</v>
          </cell>
        </row>
        <row r="6">
          <cell r="B6" t="str">
            <v>Alto Copiativo 3 CF - 66 x 96 c/ 250fls</v>
          </cell>
          <cell r="C6" t="str">
            <v>Alto Copiativo 3 CF</v>
          </cell>
          <cell r="D6" t="str">
            <v>66 x 96</v>
          </cell>
          <cell r="E6">
            <v>250</v>
          </cell>
          <cell r="F6">
            <v>178</v>
          </cell>
          <cell r="G6">
            <v>0.71199999999999997</v>
          </cell>
        </row>
        <row r="7">
          <cell r="B7" t="str">
            <v>AP 120g - 66 x 96 c/ 250fls</v>
          </cell>
          <cell r="C7" t="str">
            <v>AP 120g</v>
          </cell>
          <cell r="D7" t="str">
            <v>66 x 96</v>
          </cell>
          <cell r="E7">
            <v>250</v>
          </cell>
          <cell r="F7">
            <v>206.2</v>
          </cell>
          <cell r="G7">
            <v>0.82479999999999998</v>
          </cell>
        </row>
        <row r="8">
          <cell r="B8" t="str">
            <v>AP 150g - 64 x 88 c/ 250fls</v>
          </cell>
          <cell r="C8" t="str">
            <v>AP 150g</v>
          </cell>
          <cell r="D8" t="str">
            <v>64 x 88</v>
          </cell>
          <cell r="E8">
            <v>250</v>
          </cell>
          <cell r="F8">
            <v>236.54</v>
          </cell>
          <cell r="G8">
            <v>0.94616</v>
          </cell>
        </row>
        <row r="9">
          <cell r="B9" t="str">
            <v>AP 150g - 66 x 96 c/ 250fls</v>
          </cell>
          <cell r="C9" t="str">
            <v>AP 150g</v>
          </cell>
          <cell r="D9" t="str">
            <v>66 x 96</v>
          </cell>
          <cell r="E9">
            <v>250</v>
          </cell>
          <cell r="F9">
            <v>275.2</v>
          </cell>
          <cell r="G9">
            <v>1.1008</v>
          </cell>
        </row>
        <row r="10">
          <cell r="B10" t="str">
            <v>AP 150g - 76 x 112 c/ 150fls</v>
          </cell>
          <cell r="C10" t="str">
            <v>AP 150g</v>
          </cell>
          <cell r="D10" t="str">
            <v>76 x 112</v>
          </cell>
          <cell r="E10">
            <v>150</v>
          </cell>
          <cell r="F10">
            <v>212.08</v>
          </cell>
          <cell r="G10">
            <v>1.4138666666666668</v>
          </cell>
        </row>
        <row r="11">
          <cell r="B11" t="str">
            <v>AP 180g - 64 x 88 c/ 125fls</v>
          </cell>
          <cell r="C11" t="str">
            <v>AP 180g</v>
          </cell>
          <cell r="D11" t="str">
            <v>64 x 88</v>
          </cell>
          <cell r="E11">
            <v>125</v>
          </cell>
          <cell r="F11">
            <v>151.94</v>
          </cell>
          <cell r="G11">
            <v>1.2155199999999999</v>
          </cell>
        </row>
        <row r="12">
          <cell r="B12" t="str">
            <v>AP 180g - 66 x 96 c/ 250fls</v>
          </cell>
          <cell r="C12" t="str">
            <v>AP 180g</v>
          </cell>
          <cell r="D12" t="str">
            <v>66 x 96</v>
          </cell>
          <cell r="E12">
            <v>250</v>
          </cell>
          <cell r="F12">
            <v>292.25</v>
          </cell>
          <cell r="G12">
            <v>1.169</v>
          </cell>
        </row>
        <row r="13">
          <cell r="B13" t="str">
            <v>AP 180g - 76 x 112 c/ 150fls</v>
          </cell>
          <cell r="C13" t="str">
            <v>AP 180g</v>
          </cell>
          <cell r="D13" t="str">
            <v>76 x 112</v>
          </cell>
          <cell r="E13">
            <v>150</v>
          </cell>
          <cell r="F13">
            <v>259.7</v>
          </cell>
          <cell r="G13">
            <v>1.7313333333333332</v>
          </cell>
        </row>
        <row r="14">
          <cell r="B14" t="str">
            <v>AP 240g - 64 x 88 c/ 150fls</v>
          </cell>
          <cell r="C14" t="str">
            <v>AP 240g</v>
          </cell>
          <cell r="D14" t="str">
            <v>64 x 88</v>
          </cell>
          <cell r="E14">
            <v>150</v>
          </cell>
          <cell r="F14">
            <v>206.81</v>
          </cell>
          <cell r="G14">
            <v>1.3787333333333334</v>
          </cell>
        </row>
        <row r="15">
          <cell r="B15" t="str">
            <v>AP 240g - 64 x 88 c/ 125fls</v>
          </cell>
          <cell r="C15" t="str">
            <v>AP 240g</v>
          </cell>
          <cell r="D15" t="str">
            <v>64 x 88</v>
          </cell>
          <cell r="E15">
            <v>125</v>
          </cell>
          <cell r="F15">
            <v>202.59</v>
          </cell>
          <cell r="G15">
            <v>1.6207199999999999</v>
          </cell>
        </row>
        <row r="16">
          <cell r="B16" t="str">
            <v>AP 240g - 66 x 96 c/ 150fls</v>
          </cell>
          <cell r="C16" t="str">
            <v>AP 240g</v>
          </cell>
          <cell r="D16" t="str">
            <v>66 x 96</v>
          </cell>
          <cell r="E16">
            <v>150</v>
          </cell>
          <cell r="F16">
            <v>232.66</v>
          </cell>
          <cell r="G16">
            <v>1.5510666666666666</v>
          </cell>
        </row>
        <row r="17">
          <cell r="B17" t="str">
            <v>AP 240g - 76 x 112 c/ 125fls</v>
          </cell>
          <cell r="C17" t="str">
            <v>AP 240g</v>
          </cell>
          <cell r="D17" t="str">
            <v>76 x 112</v>
          </cell>
          <cell r="E17">
            <v>125</v>
          </cell>
          <cell r="F17">
            <v>288.56</v>
          </cell>
          <cell r="G17">
            <v>2.3084799999999999</v>
          </cell>
        </row>
        <row r="18">
          <cell r="B18" t="str">
            <v>AP 70g - 64 x 88 c/ 500fls</v>
          </cell>
          <cell r="C18" t="str">
            <v>AP 70g</v>
          </cell>
          <cell r="D18" t="str">
            <v>64 x 88</v>
          </cell>
          <cell r="E18">
            <v>500</v>
          </cell>
          <cell r="F18">
            <v>209.37</v>
          </cell>
          <cell r="G18">
            <v>0.41874</v>
          </cell>
        </row>
        <row r="19">
          <cell r="B19" t="str">
            <v>AP 70g - 66 x 96 c/ 500fls</v>
          </cell>
          <cell r="C19" t="str">
            <v>AP 70g</v>
          </cell>
          <cell r="D19" t="str">
            <v>66 x 96</v>
          </cell>
          <cell r="E19">
            <v>500</v>
          </cell>
          <cell r="F19">
            <v>231.52</v>
          </cell>
          <cell r="G19">
            <v>0.46304000000000001</v>
          </cell>
        </row>
        <row r="20">
          <cell r="B20" t="str">
            <v>AP 90g - 64 x 88 c/ 250fls</v>
          </cell>
          <cell r="C20" t="str">
            <v>AP 90g</v>
          </cell>
          <cell r="D20" t="str">
            <v>64 x 88</v>
          </cell>
          <cell r="E20">
            <v>250</v>
          </cell>
          <cell r="F20">
            <v>126.72</v>
          </cell>
          <cell r="G20">
            <v>0.50688</v>
          </cell>
        </row>
        <row r="21">
          <cell r="B21" t="str">
            <v>AP 90g - 66 x 96 c/ 500fls</v>
          </cell>
          <cell r="C21" t="str">
            <v>AP 90g</v>
          </cell>
          <cell r="D21" t="str">
            <v>66 x 96</v>
          </cell>
          <cell r="E21">
            <v>500</v>
          </cell>
          <cell r="F21">
            <v>302.83999999999997</v>
          </cell>
          <cell r="G21">
            <v>0.60568</v>
          </cell>
        </row>
        <row r="22">
          <cell r="B22" t="str">
            <v>AP 90g - 76 x 112 c/ 250fls</v>
          </cell>
          <cell r="C22" t="str">
            <v>AP 90g</v>
          </cell>
          <cell r="D22" t="str">
            <v>76 x 112</v>
          </cell>
          <cell r="E22">
            <v>250</v>
          </cell>
          <cell r="F22">
            <v>199.56</v>
          </cell>
          <cell r="G22">
            <v>0.79824000000000006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  <cell r="D23" t="str">
            <v>66 x 96</v>
          </cell>
          <cell r="E23">
            <v>250</v>
          </cell>
          <cell r="F23">
            <v>350</v>
          </cell>
          <cell r="G23">
            <v>1.4</v>
          </cell>
        </row>
        <row r="24">
          <cell r="B24" t="str">
            <v>Couche Brilho 115g - 64 x 88 c/ 250fls</v>
          </cell>
          <cell r="C24" t="str">
            <v>Couche Brilho 115g</v>
          </cell>
          <cell r="D24" t="str">
            <v>64 x 88</v>
          </cell>
          <cell r="E24">
            <v>250</v>
          </cell>
          <cell r="F24">
            <v>221</v>
          </cell>
          <cell r="G24">
            <v>0.88400000000000001</v>
          </cell>
        </row>
        <row r="25">
          <cell r="B25" t="str">
            <v>Couche Brilho 115g - 66 x 96 c/ 250fls</v>
          </cell>
          <cell r="C25" t="str">
            <v>Couche Brilho 115g</v>
          </cell>
          <cell r="D25" t="str">
            <v>66 x 96</v>
          </cell>
          <cell r="E25">
            <v>250</v>
          </cell>
          <cell r="F25">
            <v>277</v>
          </cell>
          <cell r="G25">
            <v>1.1080000000000001</v>
          </cell>
        </row>
        <row r="26">
          <cell r="B26" t="str">
            <v>Couche Brilho 90g - 66 x 96 c/ 250fls</v>
          </cell>
          <cell r="C26" t="str">
            <v>Couche Brilho 90g</v>
          </cell>
          <cell r="D26" t="str">
            <v>66 x 96</v>
          </cell>
          <cell r="E26">
            <v>250</v>
          </cell>
          <cell r="F26">
            <v>217</v>
          </cell>
          <cell r="G26">
            <v>0.86799999999999999</v>
          </cell>
        </row>
        <row r="27">
          <cell r="B27" t="str">
            <v>Couche Magno Fosco 300g - 76 x 112 c/ 100fls</v>
          </cell>
          <cell r="C27" t="str">
            <v>Couche Magno Fosco 300g</v>
          </cell>
          <cell r="D27" t="str">
            <v>76 x 112</v>
          </cell>
          <cell r="E27">
            <v>100</v>
          </cell>
          <cell r="F27">
            <v>389.6</v>
          </cell>
          <cell r="G27">
            <v>3.8960000000000004</v>
          </cell>
        </row>
        <row r="28">
          <cell r="B28" t="str">
            <v>Couche Nevia Fosco 300g - 66 x 96 c/ 100fls</v>
          </cell>
          <cell r="C28" t="str">
            <v>Couche Nevia Fosco 300g</v>
          </cell>
          <cell r="D28" t="str">
            <v>66 x 96</v>
          </cell>
          <cell r="E28">
            <v>100</v>
          </cell>
          <cell r="F28">
            <v>289.95999999999998</v>
          </cell>
          <cell r="G28">
            <v>2.8996</v>
          </cell>
        </row>
        <row r="29">
          <cell r="B29" t="str">
            <v>Couche Nevia Fosco 300g - 66 x 96 c/ 125fls</v>
          </cell>
          <cell r="C29" t="str">
            <v>Couche Nevia Fosco 300g</v>
          </cell>
          <cell r="D29" t="str">
            <v>66 x 96</v>
          </cell>
          <cell r="E29">
            <v>125</v>
          </cell>
          <cell r="F29">
            <v>392.6</v>
          </cell>
          <cell r="G29">
            <v>3.1408</v>
          </cell>
        </row>
        <row r="30">
          <cell r="B30" t="str">
            <v>Duplex Ecopack MD 210g - 77 x 113 c/ 525fls</v>
          </cell>
          <cell r="C30" t="str">
            <v>Duplex Ecopack MD 210g</v>
          </cell>
          <cell r="D30" t="str">
            <v>77 x 113</v>
          </cell>
          <cell r="E30">
            <v>525</v>
          </cell>
          <cell r="F30">
            <v>1178.6500000000001</v>
          </cell>
          <cell r="G30">
            <v>2.2450476190476194</v>
          </cell>
        </row>
        <row r="31">
          <cell r="B31" t="str">
            <v>Duplex Ecopack MD 210g - 96 x 113 c/ 1050fls</v>
          </cell>
          <cell r="C31" t="str">
            <v>Duplex Ecopack MD 210g</v>
          </cell>
          <cell r="D31" t="str">
            <v>96 x 113</v>
          </cell>
          <cell r="E31">
            <v>1050</v>
          </cell>
          <cell r="F31">
            <v>2938.97</v>
          </cell>
          <cell r="G31">
            <v>2.7990190476190473</v>
          </cell>
        </row>
        <row r="32">
          <cell r="B32" t="str">
            <v>Duplex Klabin 205g - 77 x 113 c/ 283fls</v>
          </cell>
          <cell r="C32" t="str">
            <v>Duplex Klabin 205g</v>
          </cell>
          <cell r="D32" t="str">
            <v>77 x 113</v>
          </cell>
          <cell r="E32">
            <v>283</v>
          </cell>
          <cell r="F32">
            <v>646.28</v>
          </cell>
          <cell r="G32">
            <v>2.2836749116607771</v>
          </cell>
        </row>
        <row r="33">
          <cell r="B33" t="str">
            <v>Duplex Klabin 205g - 77 x 113 c/ 525fls</v>
          </cell>
          <cell r="C33" t="str">
            <v>Duplex Klabin 205g</v>
          </cell>
          <cell r="D33" t="str">
            <v>77 x 113</v>
          </cell>
          <cell r="E33">
            <v>525</v>
          </cell>
          <cell r="F33">
            <v>1198.93</v>
          </cell>
          <cell r="G33">
            <v>2.2836761904761906</v>
          </cell>
        </row>
        <row r="34">
          <cell r="B34" t="str">
            <v>Duplex Printkot MD 230g - 77 x 113 c/ 275fls</v>
          </cell>
          <cell r="C34" t="str">
            <v>Duplex Printkot MD 230g</v>
          </cell>
          <cell r="D34" t="str">
            <v>77 x 113</v>
          </cell>
          <cell r="E34">
            <v>275</v>
          </cell>
          <cell r="F34">
            <v>690.39</v>
          </cell>
          <cell r="G34">
            <v>2.5105090909090908</v>
          </cell>
        </row>
        <row r="35">
          <cell r="B35" t="str">
            <v>Duplex Printkot MD 230g - 77 x 113 c/ 525fls</v>
          </cell>
          <cell r="C35" t="str">
            <v>Duplex Printkot MD 230g</v>
          </cell>
          <cell r="D35" t="str">
            <v>77 x 113</v>
          </cell>
          <cell r="E35">
            <v>525</v>
          </cell>
          <cell r="F35">
            <v>1318.02</v>
          </cell>
          <cell r="G35">
            <v>2.5105142857142857</v>
          </cell>
        </row>
        <row r="36">
          <cell r="B36" t="str">
            <v>Floport 35gr - Papel de Seda -  c/ 500fls</v>
          </cell>
          <cell r="C36" t="str">
            <v>Floport 35gr - Papel de Seda</v>
          </cell>
          <cell r="E36">
            <v>500</v>
          </cell>
          <cell r="F36">
            <v>196.5</v>
          </cell>
          <cell r="G36">
            <v>0.39300000000000002</v>
          </cell>
        </row>
        <row r="37">
          <cell r="B37" t="str">
            <v>Kraft 135g - 63 x 113 c/ 1050fls</v>
          </cell>
          <cell r="C37" t="str">
            <v>Kraft 135g</v>
          </cell>
          <cell r="D37" t="str">
            <v>63 x 113</v>
          </cell>
          <cell r="E37">
            <v>1050</v>
          </cell>
          <cell r="F37">
            <v>1047.21</v>
          </cell>
          <cell r="G37">
            <v>0.9973428571428572</v>
          </cell>
        </row>
        <row r="38">
          <cell r="B38" t="str">
            <v>Kraft 135g - 66 x 96 c/ 250fls</v>
          </cell>
          <cell r="C38" t="str">
            <v>Kraft 135g</v>
          </cell>
          <cell r="D38" t="str">
            <v>66 x 96</v>
          </cell>
          <cell r="E38">
            <v>250</v>
          </cell>
          <cell r="F38">
            <v>221.85</v>
          </cell>
          <cell r="G38">
            <v>0.88739999999999997</v>
          </cell>
        </row>
        <row r="39">
          <cell r="B39" t="str">
            <v>Kraft 135g - 96 x 53 c/ 1050fls</v>
          </cell>
          <cell r="C39" t="str">
            <v>Kraft 135g</v>
          </cell>
          <cell r="D39" t="str">
            <v>96 x 53</v>
          </cell>
          <cell r="E39">
            <v>1050</v>
          </cell>
          <cell r="F39">
            <v>722.32</v>
          </cell>
          <cell r="G39">
            <v>0.6879238095238096</v>
          </cell>
        </row>
        <row r="40">
          <cell r="B40" t="str">
            <v>Kraft 135g - 96 x 76 c/ 525fls</v>
          </cell>
          <cell r="C40" t="str">
            <v>Kraft 135g</v>
          </cell>
          <cell r="D40" t="str">
            <v>96 x 76</v>
          </cell>
          <cell r="E40">
            <v>525</v>
          </cell>
          <cell r="F40">
            <v>517.89</v>
          </cell>
          <cell r="G40">
            <v>0.98645714285714281</v>
          </cell>
        </row>
        <row r="41">
          <cell r="B41" t="str">
            <v>Kraft 135g - 77 x 113 c/ 250fls</v>
          </cell>
          <cell r="C41" t="str">
            <v>Kraft 135g</v>
          </cell>
          <cell r="D41" t="str">
            <v>77 x 113</v>
          </cell>
          <cell r="E41">
            <v>250</v>
          </cell>
          <cell r="F41">
            <v>304.76</v>
          </cell>
          <cell r="G41">
            <v>1.2190399999999999</v>
          </cell>
        </row>
        <row r="42">
          <cell r="B42" t="str">
            <v>Kraft 170g - 113 x 63 c/ 1050fls</v>
          </cell>
          <cell r="C42" t="str">
            <v>Kraft 170g</v>
          </cell>
          <cell r="D42" t="str">
            <v>113 x 63</v>
          </cell>
          <cell r="E42">
            <v>1050</v>
          </cell>
          <cell r="F42">
            <v>1318.7</v>
          </cell>
          <cell r="G42">
            <v>1.2559047619047619</v>
          </cell>
        </row>
        <row r="43">
          <cell r="B43" t="str">
            <v>Kraft 170g - 66 x 96 c/ 1050fls</v>
          </cell>
          <cell r="C43" t="str">
            <v>Kraft 170g</v>
          </cell>
          <cell r="D43" t="str">
            <v>66 x 96</v>
          </cell>
          <cell r="E43">
            <v>1050</v>
          </cell>
          <cell r="F43">
            <v>1132.58</v>
          </cell>
          <cell r="G43">
            <v>1.0786476190476191</v>
          </cell>
        </row>
        <row r="44">
          <cell r="B44" t="str">
            <v>Kraft 90g - 66 x 96 c/ 250fls</v>
          </cell>
          <cell r="C44" t="str">
            <v>Kraft 90g</v>
          </cell>
          <cell r="D44" t="str">
            <v>66 x 96</v>
          </cell>
          <cell r="E44">
            <v>250</v>
          </cell>
          <cell r="F44">
            <v>151.81</v>
          </cell>
          <cell r="G44">
            <v>0.60724</v>
          </cell>
        </row>
        <row r="45">
          <cell r="B45" t="str">
            <v>Kraft 90g - 77 x 113 c/ 250fls</v>
          </cell>
          <cell r="C45" t="str">
            <v>Kraft 90g</v>
          </cell>
          <cell r="D45" t="str">
            <v>77 x 113</v>
          </cell>
          <cell r="E45">
            <v>250</v>
          </cell>
          <cell r="F45">
            <v>208.39</v>
          </cell>
          <cell r="G45">
            <v>0.83355999999999997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  <cell r="D46" t="str">
            <v>96 x 57</v>
          </cell>
          <cell r="E46">
            <v>1050</v>
          </cell>
          <cell r="F46">
            <v>804.87</v>
          </cell>
          <cell r="G46">
            <v>0.76654285714285719</v>
          </cell>
        </row>
        <row r="47">
          <cell r="B47" t="str">
            <v>Papel Reciclato 90g - 66 x 96 c/ 250fls</v>
          </cell>
          <cell r="C47" t="str">
            <v>Papel Reciclato 90g</v>
          </cell>
          <cell r="D47" t="str">
            <v>66 x 96</v>
          </cell>
          <cell r="E47">
            <v>250</v>
          </cell>
          <cell r="F47">
            <v>165.26</v>
          </cell>
          <cell r="G47">
            <v>0.66103999999999996</v>
          </cell>
        </row>
        <row r="48">
          <cell r="B48" t="str">
            <v>Triplex Graphics 290g - 66 x 96 c/ 100fls</v>
          </cell>
          <cell r="C48" t="str">
            <v>Triplex Graphics 290g</v>
          </cell>
          <cell r="D48" t="str">
            <v>66 x 96</v>
          </cell>
          <cell r="E48">
            <v>100</v>
          </cell>
          <cell r="F48">
            <v>271.08999999999997</v>
          </cell>
          <cell r="G48">
            <v>2.7108999999999996</v>
          </cell>
        </row>
        <row r="49">
          <cell r="B49" t="str">
            <v>Triplex Supera White 240g - 66 x 96 c/ 100fls</v>
          </cell>
          <cell r="C49" t="str">
            <v>Triplex Supera White 240g</v>
          </cell>
          <cell r="D49" t="str">
            <v>66 x 96</v>
          </cell>
          <cell r="E49">
            <v>100</v>
          </cell>
          <cell r="F49">
            <v>227.15</v>
          </cell>
          <cell r="G49">
            <v>2.2715000000000001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  <cell r="D50" t="str">
            <v>77 x 113</v>
          </cell>
          <cell r="E50">
            <v>100</v>
          </cell>
          <cell r="F50">
            <v>312</v>
          </cell>
          <cell r="G50">
            <v>3.12</v>
          </cell>
        </row>
        <row r="51">
          <cell r="B51" t="str">
            <v>Triplex Zenith 295g - 77 x 113 c/ 100fls</v>
          </cell>
          <cell r="C51" t="str">
            <v>Triplex Zenith 295g</v>
          </cell>
          <cell r="D51" t="str">
            <v>77 x 113</v>
          </cell>
          <cell r="E51">
            <v>100</v>
          </cell>
          <cell r="F51">
            <v>379.96</v>
          </cell>
          <cell r="G51">
            <v>3.7995999999999999</v>
          </cell>
        </row>
        <row r="52">
          <cell r="B52" t="str">
            <v>Triplex Zian Solid 250g - 48 x 54 c/ 4200fls</v>
          </cell>
          <cell r="C52" t="str">
            <v>Triplex Zian Solid 250g</v>
          </cell>
          <cell r="D52" t="str">
            <v>48 x 54</v>
          </cell>
          <cell r="E52">
            <v>4200</v>
          </cell>
          <cell r="F52">
            <v>3709.27</v>
          </cell>
          <cell r="G52">
            <v>0.88315952380952378</v>
          </cell>
        </row>
        <row r="53">
          <cell r="B53" t="str">
            <v>Zian Pack 130g - 66 x 96 c/ 150fls</v>
          </cell>
          <cell r="C53" t="str">
            <v>Zian Pack 130g</v>
          </cell>
          <cell r="D53" t="str">
            <v>66 x 96</v>
          </cell>
          <cell r="E53">
            <v>150</v>
          </cell>
          <cell r="F53">
            <v>103.33</v>
          </cell>
          <cell r="G53">
            <v>0.68886666666666663</v>
          </cell>
        </row>
        <row r="54">
          <cell r="B54" t="str">
            <v>Zian Pack 130g - 77 x 113 c/ 150fls</v>
          </cell>
          <cell r="C54" t="str">
            <v>Zian Pack 130g</v>
          </cell>
          <cell r="D54" t="str">
            <v>77 x 113</v>
          </cell>
          <cell r="E54">
            <v>150</v>
          </cell>
          <cell r="F54">
            <v>141.9</v>
          </cell>
          <cell r="G54">
            <v>0.94600000000000006</v>
          </cell>
        </row>
        <row r="55">
          <cell r="B55" t="str">
            <v>Zian Pack 150g - 66 x 96 c/ 150fls</v>
          </cell>
          <cell r="C55" t="str">
            <v>Zian Pack 150g</v>
          </cell>
          <cell r="D55" t="str">
            <v>66 x 96</v>
          </cell>
          <cell r="E55">
            <v>150</v>
          </cell>
          <cell r="F55">
            <v>119.22</v>
          </cell>
          <cell r="G55">
            <v>0.79479999999999995</v>
          </cell>
        </row>
        <row r="56">
          <cell r="B56" t="str">
            <v>Zian Pack 150g - 77 x 113 c/ 150fls</v>
          </cell>
          <cell r="C56" t="str">
            <v>Zian Pack 150g</v>
          </cell>
          <cell r="D56" t="str">
            <v>77 x 113</v>
          </cell>
          <cell r="E56">
            <v>150</v>
          </cell>
          <cell r="F56">
            <v>163.75</v>
          </cell>
          <cell r="G56">
            <v>1.0916666666666666</v>
          </cell>
        </row>
        <row r="57">
          <cell r="B57" t="str">
            <v>Zian Pack 150g - 96 x 53 c/ 1050fls</v>
          </cell>
          <cell r="C57" t="str">
            <v>Zian Pack 150g</v>
          </cell>
          <cell r="D57" t="str">
            <v>96 x 53</v>
          </cell>
          <cell r="E57">
            <v>1050</v>
          </cell>
          <cell r="F57">
            <v>670.2</v>
          </cell>
          <cell r="G57">
            <v>0.63828571428571435</v>
          </cell>
        </row>
        <row r="58">
          <cell r="B58" t="str">
            <v>Zian Pack 150g - 96 x 76 c/ 525fls</v>
          </cell>
          <cell r="C58" t="str">
            <v>Zian Pack 150g</v>
          </cell>
          <cell r="D58" t="str">
            <v>96 x 76</v>
          </cell>
          <cell r="E58">
            <v>525</v>
          </cell>
          <cell r="F58">
            <v>480.52</v>
          </cell>
          <cell r="G58">
            <v>0.91527619047619047</v>
          </cell>
        </row>
        <row r="59">
          <cell r="B59" t="str">
            <v>Envelope Pronto - 11,4x16,2 c/ 1000fls</v>
          </cell>
          <cell r="C59" t="str">
            <v>Envelope Pronto</v>
          </cell>
          <cell r="D59" t="str">
            <v>11,4x16,2</v>
          </cell>
          <cell r="E59">
            <v>1000</v>
          </cell>
          <cell r="F59">
            <v>76.7</v>
          </cell>
          <cell r="G59">
            <v>7.6700000000000004E-2</v>
          </cell>
        </row>
        <row r="60">
          <cell r="B60" t="str">
            <v>Duplex Ecopack MD 210g - 66 x 44 c/ 1100fls</v>
          </cell>
          <cell r="C60" t="str">
            <v>Duplex Ecopack MD 210g</v>
          </cell>
          <cell r="D60" t="str">
            <v>66 x 44</v>
          </cell>
          <cell r="E60">
            <v>1100</v>
          </cell>
          <cell r="F60">
            <v>824.22</v>
          </cell>
          <cell r="G60">
            <v>0.74929090909090912</v>
          </cell>
        </row>
        <row r="61">
          <cell r="B61" t="str">
            <v>Duplex Ecopack MD 210g - 66 x 44 c/ 2100fls</v>
          </cell>
          <cell r="C61" t="str">
            <v>Duplex Ecopack MD 210g</v>
          </cell>
          <cell r="D61" t="str">
            <v>66 x 44</v>
          </cell>
          <cell r="E61">
            <v>2100</v>
          </cell>
          <cell r="F61">
            <v>1573.52</v>
          </cell>
          <cell r="G61">
            <v>0.74929523809523813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  <cell r="D62" t="str">
            <v>55 x 73</v>
          </cell>
          <cell r="E62">
            <v>100</v>
          </cell>
          <cell r="F62">
            <v>135</v>
          </cell>
          <cell r="G62">
            <v>1.35</v>
          </cell>
        </row>
        <row r="63">
          <cell r="B63" t="str">
            <v/>
          </cell>
          <cell r="G63" t="str">
            <v/>
          </cell>
        </row>
        <row r="64">
          <cell r="B64" t="str">
            <v/>
          </cell>
          <cell r="G64" t="str">
            <v/>
          </cell>
        </row>
        <row r="65">
          <cell r="B65" t="str">
            <v/>
          </cell>
          <cell r="G65" t="str">
            <v/>
          </cell>
        </row>
        <row r="66">
          <cell r="B66" t="str">
            <v/>
          </cell>
          <cell r="G66" t="str">
            <v/>
          </cell>
        </row>
        <row r="67">
          <cell r="B67" t="str">
            <v/>
          </cell>
          <cell r="G67" t="str">
            <v/>
          </cell>
        </row>
        <row r="68">
          <cell r="B68" t="str">
            <v/>
          </cell>
          <cell r="G68" t="str">
            <v/>
          </cell>
        </row>
        <row r="69">
          <cell r="B69" t="str">
            <v/>
          </cell>
          <cell r="G69" t="str">
            <v/>
          </cell>
        </row>
        <row r="70">
          <cell r="B70" t="str">
            <v/>
          </cell>
          <cell r="G70" t="str">
            <v/>
          </cell>
        </row>
        <row r="71">
          <cell r="B71" t="str">
            <v/>
          </cell>
          <cell r="G71" t="str">
            <v/>
          </cell>
        </row>
        <row r="72">
          <cell r="B72" t="str">
            <v/>
          </cell>
          <cell r="G72" t="str">
            <v/>
          </cell>
        </row>
        <row r="73">
          <cell r="B73" t="str">
            <v/>
          </cell>
          <cell r="G73" t="str">
            <v/>
          </cell>
        </row>
        <row r="74">
          <cell r="B74" t="str">
            <v/>
          </cell>
          <cell r="G74" t="str">
            <v/>
          </cell>
        </row>
        <row r="75">
          <cell r="B75" t="str">
            <v/>
          </cell>
          <cell r="G75" t="str">
            <v/>
          </cell>
        </row>
        <row r="76">
          <cell r="B76" t="str">
            <v/>
          </cell>
          <cell r="G76" t="str">
            <v/>
          </cell>
        </row>
        <row r="77">
          <cell r="B77" t="str">
            <v/>
          </cell>
          <cell r="G77" t="str">
            <v/>
          </cell>
        </row>
        <row r="78">
          <cell r="B78" t="str">
            <v/>
          </cell>
          <cell r="G78" t="str">
            <v/>
          </cell>
        </row>
        <row r="79">
          <cell r="B79" t="str">
            <v/>
          </cell>
          <cell r="G79" t="str">
            <v/>
          </cell>
        </row>
        <row r="80">
          <cell r="B80" t="str">
            <v/>
          </cell>
          <cell r="G80" t="str">
            <v/>
          </cell>
        </row>
        <row r="81">
          <cell r="B81" t="str">
            <v/>
          </cell>
          <cell r="G81" t="str">
            <v/>
          </cell>
        </row>
        <row r="82">
          <cell r="B82" t="str">
            <v/>
          </cell>
          <cell r="G82" t="str">
            <v/>
          </cell>
        </row>
        <row r="83">
          <cell r="B83" t="str">
            <v/>
          </cell>
          <cell r="G83" t="str">
            <v/>
          </cell>
        </row>
        <row r="84">
          <cell r="B84" t="str">
            <v/>
          </cell>
          <cell r="G84" t="str">
            <v/>
          </cell>
        </row>
        <row r="85">
          <cell r="B85" t="str">
            <v/>
          </cell>
          <cell r="G85" t="str">
            <v/>
          </cell>
        </row>
        <row r="86">
          <cell r="B86" t="str">
            <v/>
          </cell>
          <cell r="G86" t="str">
            <v/>
          </cell>
        </row>
        <row r="87">
          <cell r="B87" t="str">
            <v/>
          </cell>
          <cell r="G87" t="str">
            <v/>
          </cell>
        </row>
        <row r="88">
          <cell r="B88" t="str">
            <v/>
          </cell>
          <cell r="G88" t="str">
            <v/>
          </cell>
        </row>
        <row r="89">
          <cell r="B89" t="str">
            <v/>
          </cell>
          <cell r="G89" t="str">
            <v/>
          </cell>
        </row>
        <row r="90">
          <cell r="B90" t="str">
            <v/>
          </cell>
          <cell r="G90" t="str">
            <v/>
          </cell>
        </row>
        <row r="91">
          <cell r="B91" t="str">
            <v/>
          </cell>
          <cell r="G91" t="str">
            <v/>
          </cell>
        </row>
        <row r="92">
          <cell r="B92" t="str">
            <v/>
          </cell>
          <cell r="G92" t="str">
            <v/>
          </cell>
        </row>
        <row r="93">
          <cell r="B93" t="str">
            <v/>
          </cell>
          <cell r="G93" t="str">
            <v/>
          </cell>
        </row>
        <row r="94">
          <cell r="B94" t="str">
            <v/>
          </cell>
          <cell r="G94" t="str">
            <v/>
          </cell>
        </row>
        <row r="95">
          <cell r="B95" t="str">
            <v/>
          </cell>
          <cell r="G95" t="str">
            <v/>
          </cell>
        </row>
        <row r="96">
          <cell r="B96" t="str">
            <v/>
          </cell>
          <cell r="G96" t="str">
            <v/>
          </cell>
        </row>
        <row r="97">
          <cell r="B97" t="str">
            <v/>
          </cell>
          <cell r="G97" t="str">
            <v/>
          </cell>
        </row>
        <row r="98">
          <cell r="B98" t="str">
            <v/>
          </cell>
          <cell r="G98" t="str">
            <v/>
          </cell>
        </row>
        <row r="99">
          <cell r="B99" t="str">
            <v/>
          </cell>
          <cell r="G99" t="str">
            <v/>
          </cell>
        </row>
        <row r="100">
          <cell r="B100" t="str">
            <v/>
          </cell>
          <cell r="G100" t="str">
            <v/>
          </cell>
        </row>
        <row r="101">
          <cell r="B101" t="str">
            <v/>
          </cell>
          <cell r="G101" t="str">
            <v/>
          </cell>
        </row>
        <row r="102">
          <cell r="B102" t="str">
            <v/>
          </cell>
          <cell r="G102" t="str">
            <v/>
          </cell>
        </row>
        <row r="103">
          <cell r="B103" t="str">
            <v/>
          </cell>
          <cell r="G103" t="str">
            <v/>
          </cell>
        </row>
        <row r="104">
          <cell r="B104" t="str">
            <v/>
          </cell>
          <cell r="G104" t="str">
            <v/>
          </cell>
        </row>
        <row r="105">
          <cell r="B105" t="str">
            <v/>
          </cell>
          <cell r="G105" t="str">
            <v/>
          </cell>
        </row>
        <row r="106">
          <cell r="B106" t="str">
            <v/>
          </cell>
          <cell r="G106" t="str">
            <v/>
          </cell>
        </row>
        <row r="107">
          <cell r="B107" t="str">
            <v/>
          </cell>
          <cell r="G107" t="str">
            <v/>
          </cell>
        </row>
        <row r="108">
          <cell r="B108" t="str">
            <v/>
          </cell>
          <cell r="G108" t="str">
            <v/>
          </cell>
        </row>
        <row r="109">
          <cell r="B109" t="str">
            <v/>
          </cell>
          <cell r="G109" t="str">
            <v/>
          </cell>
        </row>
        <row r="110">
          <cell r="B110" t="str">
            <v/>
          </cell>
          <cell r="G110" t="str">
            <v/>
          </cell>
        </row>
        <row r="111">
          <cell r="B111" t="str">
            <v/>
          </cell>
          <cell r="G111" t="str">
            <v/>
          </cell>
        </row>
        <row r="112">
          <cell r="B112" t="str">
            <v/>
          </cell>
          <cell r="G112" t="str">
            <v/>
          </cell>
        </row>
        <row r="113">
          <cell r="B113" t="str">
            <v/>
          </cell>
          <cell r="G113" t="str">
            <v/>
          </cell>
        </row>
        <row r="114">
          <cell r="B114" t="str">
            <v/>
          </cell>
          <cell r="G114" t="str">
            <v/>
          </cell>
        </row>
        <row r="115">
          <cell r="B115" t="str">
            <v/>
          </cell>
          <cell r="G115" t="str">
            <v/>
          </cell>
        </row>
        <row r="116">
          <cell r="B116" t="str">
            <v/>
          </cell>
          <cell r="G116" t="str">
            <v/>
          </cell>
        </row>
        <row r="117">
          <cell r="B117" t="str">
            <v/>
          </cell>
          <cell r="G117" t="str">
            <v/>
          </cell>
        </row>
        <row r="118">
          <cell r="B118" t="str">
            <v/>
          </cell>
          <cell r="G118" t="str">
            <v/>
          </cell>
        </row>
        <row r="119">
          <cell r="B119" t="str">
            <v/>
          </cell>
          <cell r="G119" t="str">
            <v/>
          </cell>
        </row>
        <row r="120">
          <cell r="B120" t="str">
            <v/>
          </cell>
          <cell r="G120" t="str">
            <v/>
          </cell>
        </row>
        <row r="121">
          <cell r="B121" t="str">
            <v/>
          </cell>
          <cell r="G121" t="str">
            <v/>
          </cell>
        </row>
        <row r="122">
          <cell r="B122" t="str">
            <v/>
          </cell>
          <cell r="G122" t="str">
            <v/>
          </cell>
        </row>
        <row r="123">
          <cell r="B123" t="str">
            <v/>
          </cell>
          <cell r="G123" t="str">
            <v/>
          </cell>
        </row>
        <row r="124">
          <cell r="B124" t="str">
            <v/>
          </cell>
          <cell r="G124" t="str">
            <v/>
          </cell>
        </row>
        <row r="125">
          <cell r="B125" t="str">
            <v/>
          </cell>
          <cell r="G125" t="str">
            <v/>
          </cell>
        </row>
        <row r="126">
          <cell r="B126" t="str">
            <v/>
          </cell>
          <cell r="G126" t="str">
            <v/>
          </cell>
        </row>
        <row r="127">
          <cell r="B127" t="str">
            <v/>
          </cell>
          <cell r="G127" t="str">
            <v/>
          </cell>
        </row>
        <row r="128">
          <cell r="B128" t="str">
            <v/>
          </cell>
          <cell r="G128" t="str">
            <v/>
          </cell>
        </row>
        <row r="129">
          <cell r="B129" t="str">
            <v/>
          </cell>
          <cell r="G129" t="str">
            <v/>
          </cell>
        </row>
        <row r="130">
          <cell r="B130" t="str">
            <v/>
          </cell>
          <cell r="G130" t="str">
            <v/>
          </cell>
        </row>
        <row r="131">
          <cell r="B131" t="str">
            <v/>
          </cell>
          <cell r="G131" t="str">
            <v/>
          </cell>
        </row>
        <row r="132">
          <cell r="B132" t="str">
            <v/>
          </cell>
          <cell r="G132" t="str">
            <v/>
          </cell>
        </row>
        <row r="133">
          <cell r="B133" t="str">
            <v/>
          </cell>
          <cell r="G133" t="str">
            <v/>
          </cell>
        </row>
        <row r="134">
          <cell r="B134" t="str">
            <v/>
          </cell>
          <cell r="G134" t="str">
            <v/>
          </cell>
        </row>
        <row r="135">
          <cell r="B135" t="str">
            <v/>
          </cell>
          <cell r="G135" t="str">
            <v/>
          </cell>
        </row>
        <row r="136">
          <cell r="B136" t="str">
            <v/>
          </cell>
          <cell r="G136" t="str">
            <v/>
          </cell>
        </row>
        <row r="137">
          <cell r="B137" t="str">
            <v/>
          </cell>
          <cell r="G137" t="str">
            <v/>
          </cell>
        </row>
        <row r="138">
          <cell r="B138" t="str">
            <v/>
          </cell>
          <cell r="G138" t="str">
            <v/>
          </cell>
        </row>
        <row r="139">
          <cell r="B139" t="str">
            <v/>
          </cell>
          <cell r="G139" t="str">
            <v/>
          </cell>
        </row>
        <row r="140">
          <cell r="B140" t="str">
            <v/>
          </cell>
          <cell r="G140" t="str">
            <v/>
          </cell>
        </row>
        <row r="141">
          <cell r="B141" t="str">
            <v/>
          </cell>
          <cell r="G141" t="str">
            <v/>
          </cell>
        </row>
        <row r="142">
          <cell r="B142" t="str">
            <v/>
          </cell>
          <cell r="G142" t="str">
            <v/>
          </cell>
        </row>
        <row r="143">
          <cell r="B143" t="str">
            <v/>
          </cell>
          <cell r="G143" t="str">
            <v/>
          </cell>
        </row>
        <row r="144">
          <cell r="B144" t="str">
            <v/>
          </cell>
          <cell r="G144" t="str">
            <v/>
          </cell>
        </row>
        <row r="145">
          <cell r="B145" t="str">
            <v/>
          </cell>
          <cell r="G145" t="str">
            <v/>
          </cell>
        </row>
        <row r="146">
          <cell r="B146" t="str">
            <v/>
          </cell>
          <cell r="G146" t="str">
            <v/>
          </cell>
        </row>
        <row r="147">
          <cell r="B147" t="str">
            <v/>
          </cell>
          <cell r="G147" t="str">
            <v/>
          </cell>
        </row>
        <row r="148">
          <cell r="B148" t="str">
            <v/>
          </cell>
          <cell r="G148" t="str">
            <v/>
          </cell>
        </row>
        <row r="149">
          <cell r="B149" t="str">
            <v/>
          </cell>
          <cell r="G149" t="str">
            <v/>
          </cell>
        </row>
        <row r="150">
          <cell r="B150" t="str">
            <v/>
          </cell>
          <cell r="G150" t="str">
            <v/>
          </cell>
        </row>
        <row r="151">
          <cell r="B151" t="str">
            <v/>
          </cell>
          <cell r="G151" t="str">
            <v/>
          </cell>
        </row>
        <row r="152">
          <cell r="B152" t="str">
            <v/>
          </cell>
          <cell r="G152" t="str">
            <v/>
          </cell>
        </row>
        <row r="153">
          <cell r="B153" t="str">
            <v/>
          </cell>
          <cell r="G153" t="str">
            <v/>
          </cell>
        </row>
        <row r="154">
          <cell r="B154" t="str">
            <v/>
          </cell>
          <cell r="G154" t="str">
            <v/>
          </cell>
        </row>
        <row r="155">
          <cell r="B155" t="str">
            <v/>
          </cell>
          <cell r="G155" t="str">
            <v/>
          </cell>
        </row>
        <row r="156">
          <cell r="B156" t="str">
            <v/>
          </cell>
          <cell r="G156" t="str">
            <v/>
          </cell>
        </row>
        <row r="157">
          <cell r="B157" t="str">
            <v/>
          </cell>
          <cell r="G157" t="str">
            <v/>
          </cell>
        </row>
        <row r="158">
          <cell r="B158" t="str">
            <v/>
          </cell>
          <cell r="G158" t="str">
            <v/>
          </cell>
        </row>
        <row r="159">
          <cell r="B159" t="str">
            <v/>
          </cell>
          <cell r="G159" t="str">
            <v/>
          </cell>
        </row>
        <row r="160">
          <cell r="B160" t="str">
            <v/>
          </cell>
          <cell r="G160" t="str">
            <v/>
          </cell>
        </row>
        <row r="161">
          <cell r="B161" t="str">
            <v/>
          </cell>
          <cell r="G161" t="str">
            <v/>
          </cell>
        </row>
        <row r="162">
          <cell r="B162" t="str">
            <v/>
          </cell>
          <cell r="G162" t="str">
            <v/>
          </cell>
        </row>
        <row r="163">
          <cell r="B163" t="str">
            <v/>
          </cell>
          <cell r="G163" t="str">
            <v/>
          </cell>
        </row>
        <row r="164">
          <cell r="B164" t="str">
            <v/>
          </cell>
          <cell r="G164" t="str">
            <v/>
          </cell>
        </row>
        <row r="165">
          <cell r="B165" t="str">
            <v/>
          </cell>
          <cell r="G165" t="str">
            <v/>
          </cell>
        </row>
        <row r="166">
          <cell r="B166" t="str">
            <v/>
          </cell>
          <cell r="G166" t="str">
            <v/>
          </cell>
        </row>
        <row r="167">
          <cell r="B167" t="str">
            <v/>
          </cell>
          <cell r="G167" t="str">
            <v/>
          </cell>
        </row>
        <row r="168">
          <cell r="B168" t="str">
            <v/>
          </cell>
          <cell r="G168" t="str">
            <v/>
          </cell>
        </row>
        <row r="169">
          <cell r="B169" t="str">
            <v/>
          </cell>
          <cell r="G169" t="str">
            <v/>
          </cell>
        </row>
        <row r="170">
          <cell r="B170" t="str">
            <v/>
          </cell>
          <cell r="G170" t="str">
            <v/>
          </cell>
        </row>
        <row r="171">
          <cell r="B171" t="str">
            <v/>
          </cell>
          <cell r="G171" t="str">
            <v/>
          </cell>
        </row>
        <row r="172">
          <cell r="B172" t="str">
            <v/>
          </cell>
          <cell r="G172" t="str">
            <v/>
          </cell>
        </row>
        <row r="173">
          <cell r="B173" t="str">
            <v/>
          </cell>
          <cell r="G173" t="str">
            <v/>
          </cell>
        </row>
        <row r="174">
          <cell r="B174" t="str">
            <v/>
          </cell>
          <cell r="G174" t="str">
            <v/>
          </cell>
        </row>
        <row r="175">
          <cell r="B175" t="str">
            <v/>
          </cell>
          <cell r="G175" t="str">
            <v/>
          </cell>
        </row>
        <row r="176">
          <cell r="B176" t="str">
            <v/>
          </cell>
          <cell r="G176" t="str">
            <v/>
          </cell>
        </row>
        <row r="177">
          <cell r="B177" t="str">
            <v/>
          </cell>
          <cell r="G177" t="str">
            <v/>
          </cell>
        </row>
        <row r="178">
          <cell r="B178" t="str">
            <v/>
          </cell>
          <cell r="G178" t="str">
            <v/>
          </cell>
        </row>
        <row r="179">
          <cell r="B179" t="str">
            <v/>
          </cell>
          <cell r="G179" t="str">
            <v/>
          </cell>
        </row>
        <row r="180">
          <cell r="B180" t="str">
            <v/>
          </cell>
          <cell r="G180" t="str">
            <v/>
          </cell>
        </row>
        <row r="181">
          <cell r="B181" t="str">
            <v/>
          </cell>
          <cell r="G181" t="str">
            <v/>
          </cell>
        </row>
        <row r="182">
          <cell r="B182" t="str">
            <v/>
          </cell>
          <cell r="G182" t="str">
            <v/>
          </cell>
        </row>
        <row r="183">
          <cell r="B183" t="str">
            <v/>
          </cell>
          <cell r="G183" t="str">
            <v/>
          </cell>
        </row>
        <row r="184">
          <cell r="B184" t="str">
            <v/>
          </cell>
          <cell r="G184" t="str">
            <v/>
          </cell>
        </row>
        <row r="185">
          <cell r="B185" t="str">
            <v/>
          </cell>
          <cell r="G185" t="str">
            <v/>
          </cell>
        </row>
        <row r="186">
          <cell r="B186" t="str">
            <v/>
          </cell>
          <cell r="G186" t="str">
            <v/>
          </cell>
        </row>
        <row r="187">
          <cell r="B187" t="str">
            <v/>
          </cell>
          <cell r="G187" t="str">
            <v/>
          </cell>
        </row>
        <row r="188">
          <cell r="B188" t="str">
            <v/>
          </cell>
          <cell r="G188" t="str">
            <v/>
          </cell>
        </row>
        <row r="189">
          <cell r="B189" t="str">
            <v/>
          </cell>
          <cell r="G189" t="str">
            <v/>
          </cell>
        </row>
        <row r="190">
          <cell r="B190" t="str">
            <v/>
          </cell>
          <cell r="G190" t="str">
            <v/>
          </cell>
        </row>
        <row r="191">
          <cell r="B191" t="str">
            <v/>
          </cell>
          <cell r="G191" t="str">
            <v/>
          </cell>
        </row>
        <row r="192">
          <cell r="B192" t="str">
            <v/>
          </cell>
          <cell r="G192" t="str">
            <v/>
          </cell>
        </row>
        <row r="193">
          <cell r="B193" t="str">
            <v/>
          </cell>
          <cell r="G193" t="str">
            <v/>
          </cell>
        </row>
        <row r="194">
          <cell r="B194" t="str">
            <v/>
          </cell>
          <cell r="G194" t="str">
            <v/>
          </cell>
        </row>
        <row r="195">
          <cell r="B195" t="str">
            <v/>
          </cell>
          <cell r="G195" t="str">
            <v/>
          </cell>
        </row>
        <row r="196">
          <cell r="B196" t="str">
            <v/>
          </cell>
          <cell r="G196" t="str">
            <v/>
          </cell>
        </row>
        <row r="197">
          <cell r="B197" t="str">
            <v/>
          </cell>
          <cell r="G197" t="str">
            <v/>
          </cell>
        </row>
        <row r="198">
          <cell r="B198" t="str">
            <v/>
          </cell>
          <cell r="G198" t="str">
            <v/>
          </cell>
        </row>
        <row r="199">
          <cell r="B199" t="str">
            <v/>
          </cell>
          <cell r="G199" t="str">
            <v/>
          </cell>
        </row>
        <row r="200">
          <cell r="B200" t="str">
            <v/>
          </cell>
          <cell r="G200" t="str">
            <v/>
          </cell>
        </row>
        <row r="201">
          <cell r="B201" t="str">
            <v/>
          </cell>
          <cell r="G201" t="str">
            <v/>
          </cell>
        </row>
        <row r="202">
          <cell r="B202" t="str">
            <v/>
          </cell>
          <cell r="G202" t="str">
            <v/>
          </cell>
        </row>
        <row r="203">
          <cell r="B203" t="str">
            <v/>
          </cell>
          <cell r="G203" t="str">
            <v/>
          </cell>
        </row>
        <row r="204">
          <cell r="B204" t="str">
            <v/>
          </cell>
          <cell r="G204" t="str">
            <v/>
          </cell>
        </row>
        <row r="205">
          <cell r="B205" t="str">
            <v/>
          </cell>
          <cell r="G205" t="str">
            <v/>
          </cell>
        </row>
        <row r="206">
          <cell r="B206" t="str">
            <v/>
          </cell>
          <cell r="G206" t="str">
            <v/>
          </cell>
        </row>
        <row r="207">
          <cell r="B207" t="str">
            <v/>
          </cell>
          <cell r="G207" t="str">
            <v/>
          </cell>
        </row>
        <row r="208">
          <cell r="B208" t="str">
            <v/>
          </cell>
          <cell r="G208" t="str">
            <v/>
          </cell>
        </row>
        <row r="209">
          <cell r="B209" t="str">
            <v/>
          </cell>
          <cell r="G209" t="str">
            <v/>
          </cell>
        </row>
        <row r="210">
          <cell r="B210" t="str">
            <v/>
          </cell>
          <cell r="G210" t="str">
            <v/>
          </cell>
        </row>
        <row r="211">
          <cell r="B211" t="str">
            <v/>
          </cell>
          <cell r="G211" t="str">
            <v/>
          </cell>
        </row>
        <row r="212">
          <cell r="B212" t="str">
            <v/>
          </cell>
          <cell r="G212" t="str">
            <v/>
          </cell>
        </row>
        <row r="213">
          <cell r="B213" t="str">
            <v/>
          </cell>
          <cell r="G213" t="str">
            <v/>
          </cell>
        </row>
        <row r="214">
          <cell r="B214" t="str">
            <v/>
          </cell>
          <cell r="G214" t="str">
            <v/>
          </cell>
        </row>
        <row r="215">
          <cell r="B215" t="str">
            <v/>
          </cell>
          <cell r="G215" t="str">
            <v/>
          </cell>
        </row>
        <row r="216">
          <cell r="B216" t="str">
            <v/>
          </cell>
          <cell r="G216" t="str">
            <v/>
          </cell>
        </row>
        <row r="217">
          <cell r="B217" t="str">
            <v/>
          </cell>
          <cell r="G217" t="str">
            <v/>
          </cell>
        </row>
        <row r="218">
          <cell r="B218" t="str">
            <v/>
          </cell>
          <cell r="G218" t="str">
            <v/>
          </cell>
        </row>
        <row r="219">
          <cell r="B219" t="str">
            <v/>
          </cell>
          <cell r="G219" t="str">
            <v/>
          </cell>
        </row>
        <row r="220">
          <cell r="B220" t="str">
            <v/>
          </cell>
          <cell r="G220" t="str">
            <v/>
          </cell>
        </row>
        <row r="221">
          <cell r="B221" t="str">
            <v/>
          </cell>
          <cell r="G221" t="str">
            <v/>
          </cell>
        </row>
        <row r="222">
          <cell r="B222" t="str">
            <v/>
          </cell>
          <cell r="G222" t="str">
            <v/>
          </cell>
        </row>
        <row r="223">
          <cell r="B223" t="str">
            <v/>
          </cell>
          <cell r="G223" t="str">
            <v/>
          </cell>
        </row>
        <row r="224">
          <cell r="B224" t="str">
            <v/>
          </cell>
          <cell r="G224" t="str">
            <v/>
          </cell>
        </row>
        <row r="225">
          <cell r="B225" t="str">
            <v/>
          </cell>
          <cell r="G225" t="str">
            <v/>
          </cell>
        </row>
        <row r="226">
          <cell r="B226" t="str">
            <v/>
          </cell>
          <cell r="G226" t="str">
            <v/>
          </cell>
        </row>
        <row r="227">
          <cell r="B227" t="str">
            <v/>
          </cell>
          <cell r="G227" t="str">
            <v/>
          </cell>
        </row>
        <row r="228">
          <cell r="B228" t="str">
            <v/>
          </cell>
          <cell r="G228" t="str">
            <v/>
          </cell>
        </row>
        <row r="229">
          <cell r="B229" t="str">
            <v/>
          </cell>
          <cell r="G229" t="str">
            <v/>
          </cell>
        </row>
        <row r="230">
          <cell r="B230" t="str">
            <v/>
          </cell>
          <cell r="G230" t="str">
            <v/>
          </cell>
        </row>
        <row r="231">
          <cell r="B231" t="str">
            <v/>
          </cell>
          <cell r="G231" t="str">
            <v/>
          </cell>
        </row>
        <row r="232">
          <cell r="B232" t="str">
            <v/>
          </cell>
          <cell r="G232" t="str">
            <v/>
          </cell>
        </row>
        <row r="233">
          <cell r="B233" t="str">
            <v/>
          </cell>
          <cell r="G233" t="str">
            <v/>
          </cell>
        </row>
        <row r="234">
          <cell r="B234" t="str">
            <v/>
          </cell>
          <cell r="G234" t="str">
            <v/>
          </cell>
        </row>
        <row r="235">
          <cell r="B235" t="str">
            <v/>
          </cell>
          <cell r="G235" t="str">
            <v/>
          </cell>
        </row>
        <row r="236">
          <cell r="B236" t="str">
            <v/>
          </cell>
          <cell r="G236" t="str">
            <v/>
          </cell>
        </row>
        <row r="237">
          <cell r="B237" t="str">
            <v/>
          </cell>
          <cell r="G237" t="str">
            <v/>
          </cell>
        </row>
        <row r="238">
          <cell r="B238" t="str">
            <v/>
          </cell>
          <cell r="G238" t="str">
            <v/>
          </cell>
        </row>
        <row r="239">
          <cell r="B239" t="str">
            <v/>
          </cell>
          <cell r="G239" t="str">
            <v/>
          </cell>
        </row>
        <row r="240">
          <cell r="B240" t="str">
            <v/>
          </cell>
          <cell r="G240" t="str">
            <v/>
          </cell>
        </row>
        <row r="241">
          <cell r="B241" t="str">
            <v/>
          </cell>
          <cell r="G241" t="str">
            <v/>
          </cell>
        </row>
        <row r="242">
          <cell r="B242" t="str">
            <v/>
          </cell>
          <cell r="G242" t="str">
            <v/>
          </cell>
        </row>
        <row r="243">
          <cell r="B243" t="str">
            <v/>
          </cell>
          <cell r="G243" t="str">
            <v/>
          </cell>
        </row>
        <row r="244">
          <cell r="B244" t="str">
            <v/>
          </cell>
          <cell r="G244" t="str">
            <v/>
          </cell>
        </row>
        <row r="245">
          <cell r="B245" t="str">
            <v/>
          </cell>
          <cell r="G245" t="str">
            <v/>
          </cell>
        </row>
        <row r="246">
          <cell r="B246" t="str">
            <v/>
          </cell>
          <cell r="G246" t="str">
            <v/>
          </cell>
        </row>
        <row r="247">
          <cell r="B247" t="str">
            <v/>
          </cell>
          <cell r="G247" t="str">
            <v/>
          </cell>
        </row>
        <row r="248">
          <cell r="B248" t="str">
            <v/>
          </cell>
          <cell r="G248" t="str">
            <v/>
          </cell>
        </row>
        <row r="249">
          <cell r="B249" t="str">
            <v/>
          </cell>
          <cell r="G249" t="str">
            <v/>
          </cell>
        </row>
        <row r="250">
          <cell r="B250" t="str">
            <v/>
          </cell>
          <cell r="G250" t="str">
            <v/>
          </cell>
        </row>
        <row r="251">
          <cell r="B251" t="str">
            <v/>
          </cell>
          <cell r="G251" t="str">
            <v/>
          </cell>
        </row>
        <row r="252">
          <cell r="B252" t="str">
            <v/>
          </cell>
          <cell r="G252" t="str">
            <v/>
          </cell>
        </row>
        <row r="253">
          <cell r="B253" t="str">
            <v/>
          </cell>
          <cell r="G253" t="str">
            <v/>
          </cell>
        </row>
        <row r="254">
          <cell r="B254" t="str">
            <v/>
          </cell>
          <cell r="G254" t="str">
            <v/>
          </cell>
        </row>
        <row r="255">
          <cell r="B255" t="str">
            <v/>
          </cell>
          <cell r="G255" t="str">
            <v/>
          </cell>
        </row>
        <row r="256">
          <cell r="B256" t="str">
            <v/>
          </cell>
          <cell r="G256" t="str">
            <v/>
          </cell>
        </row>
        <row r="257">
          <cell r="B257" t="str">
            <v/>
          </cell>
          <cell r="G257" t="str">
            <v/>
          </cell>
        </row>
        <row r="258">
          <cell r="B258" t="str">
            <v/>
          </cell>
          <cell r="G258" t="str">
            <v/>
          </cell>
        </row>
        <row r="259">
          <cell r="B259" t="str">
            <v/>
          </cell>
          <cell r="G259" t="str">
            <v/>
          </cell>
        </row>
        <row r="260">
          <cell r="B260" t="str">
            <v/>
          </cell>
          <cell r="G260" t="str">
            <v/>
          </cell>
        </row>
        <row r="261">
          <cell r="B261" t="str">
            <v/>
          </cell>
          <cell r="G261" t="str">
            <v/>
          </cell>
        </row>
        <row r="262">
          <cell r="B262" t="str">
            <v/>
          </cell>
          <cell r="G262" t="str">
            <v/>
          </cell>
        </row>
        <row r="263">
          <cell r="B263" t="str">
            <v/>
          </cell>
          <cell r="G263" t="str">
            <v/>
          </cell>
        </row>
        <row r="264">
          <cell r="B264" t="str">
            <v/>
          </cell>
          <cell r="G264" t="str">
            <v/>
          </cell>
        </row>
        <row r="265">
          <cell r="B265" t="str">
            <v/>
          </cell>
          <cell r="G265" t="str">
            <v/>
          </cell>
        </row>
        <row r="266">
          <cell r="B266" t="str">
            <v/>
          </cell>
          <cell r="G266" t="str">
            <v/>
          </cell>
        </row>
        <row r="267">
          <cell r="B267" t="str">
            <v/>
          </cell>
          <cell r="G267" t="str">
            <v/>
          </cell>
        </row>
        <row r="268">
          <cell r="B268" t="str">
            <v/>
          </cell>
          <cell r="G268" t="str">
            <v/>
          </cell>
        </row>
        <row r="269">
          <cell r="B269" t="str">
            <v/>
          </cell>
          <cell r="G269" t="str">
            <v/>
          </cell>
        </row>
        <row r="270">
          <cell r="B270" t="str">
            <v/>
          </cell>
          <cell r="G270" t="str">
            <v/>
          </cell>
        </row>
        <row r="271">
          <cell r="B271" t="str">
            <v/>
          </cell>
          <cell r="G271" t="str">
            <v/>
          </cell>
        </row>
        <row r="272">
          <cell r="B272" t="str">
            <v/>
          </cell>
          <cell r="G272" t="str">
            <v/>
          </cell>
        </row>
        <row r="273">
          <cell r="B273" t="str">
            <v/>
          </cell>
          <cell r="G273" t="str">
            <v/>
          </cell>
        </row>
        <row r="274">
          <cell r="B274" t="str">
            <v/>
          </cell>
          <cell r="G274" t="str">
            <v/>
          </cell>
        </row>
        <row r="275">
          <cell r="B275" t="str">
            <v/>
          </cell>
          <cell r="G275" t="str">
            <v/>
          </cell>
        </row>
        <row r="276">
          <cell r="B276" t="str">
            <v/>
          </cell>
          <cell r="G276" t="str">
            <v/>
          </cell>
        </row>
        <row r="277">
          <cell r="B277" t="str">
            <v/>
          </cell>
          <cell r="G277" t="str">
            <v/>
          </cell>
        </row>
        <row r="278">
          <cell r="B278" t="str">
            <v/>
          </cell>
          <cell r="G278" t="str">
            <v/>
          </cell>
        </row>
        <row r="279">
          <cell r="B279" t="str">
            <v/>
          </cell>
          <cell r="G279" t="str">
            <v/>
          </cell>
        </row>
        <row r="280">
          <cell r="B280" t="str">
            <v/>
          </cell>
          <cell r="G280" t="str">
            <v/>
          </cell>
        </row>
        <row r="281">
          <cell r="B281" t="str">
            <v/>
          </cell>
          <cell r="G281" t="str">
            <v/>
          </cell>
        </row>
        <row r="282">
          <cell r="B282" t="str">
            <v/>
          </cell>
          <cell r="G282" t="str">
            <v/>
          </cell>
        </row>
        <row r="283">
          <cell r="B283" t="str">
            <v/>
          </cell>
          <cell r="G283" t="str">
            <v/>
          </cell>
        </row>
        <row r="284">
          <cell r="B284" t="str">
            <v/>
          </cell>
          <cell r="G284" t="str">
            <v/>
          </cell>
        </row>
        <row r="285">
          <cell r="B285" t="str">
            <v/>
          </cell>
          <cell r="G285" t="str">
            <v/>
          </cell>
        </row>
        <row r="286">
          <cell r="B286" t="str">
            <v/>
          </cell>
          <cell r="G286" t="str">
            <v/>
          </cell>
        </row>
        <row r="287">
          <cell r="B287" t="str">
            <v/>
          </cell>
          <cell r="G287" t="str">
            <v/>
          </cell>
        </row>
        <row r="288">
          <cell r="B288" t="str">
            <v/>
          </cell>
          <cell r="G288" t="str">
            <v/>
          </cell>
        </row>
        <row r="289">
          <cell r="B289" t="str">
            <v/>
          </cell>
          <cell r="G289" t="str">
            <v/>
          </cell>
        </row>
        <row r="290">
          <cell r="B290" t="str">
            <v/>
          </cell>
          <cell r="G290" t="str">
            <v/>
          </cell>
        </row>
        <row r="291">
          <cell r="B291" t="str">
            <v/>
          </cell>
          <cell r="G291" t="str">
            <v/>
          </cell>
        </row>
        <row r="292">
          <cell r="B292" t="str">
            <v/>
          </cell>
          <cell r="G292" t="str">
            <v/>
          </cell>
        </row>
        <row r="293">
          <cell r="B293" t="str">
            <v/>
          </cell>
          <cell r="G293" t="str">
            <v/>
          </cell>
        </row>
        <row r="294">
          <cell r="B294" t="str">
            <v/>
          </cell>
          <cell r="G294" t="str">
            <v/>
          </cell>
        </row>
        <row r="295">
          <cell r="B295" t="str">
            <v/>
          </cell>
          <cell r="G295" t="str">
            <v/>
          </cell>
        </row>
        <row r="296">
          <cell r="B296" t="str">
            <v/>
          </cell>
          <cell r="G296" t="str">
            <v/>
          </cell>
        </row>
        <row r="297">
          <cell r="B297" t="str">
            <v/>
          </cell>
          <cell r="G297" t="str">
            <v/>
          </cell>
        </row>
        <row r="298">
          <cell r="B298" t="str">
            <v/>
          </cell>
          <cell r="G298" t="str">
            <v/>
          </cell>
        </row>
        <row r="299">
          <cell r="B299" t="str">
            <v/>
          </cell>
          <cell r="G299" t="str">
            <v/>
          </cell>
        </row>
        <row r="300">
          <cell r="B300" t="str">
            <v/>
          </cell>
          <cell r="G300" t="str">
            <v/>
          </cell>
        </row>
        <row r="301">
          <cell r="B301" t="str">
            <v/>
          </cell>
          <cell r="G301" t="str">
            <v/>
          </cell>
        </row>
        <row r="302">
          <cell r="B302" t="str">
            <v/>
          </cell>
          <cell r="G302" t="str">
            <v/>
          </cell>
        </row>
        <row r="303">
          <cell r="B303" t="str">
            <v/>
          </cell>
          <cell r="G303" t="str">
            <v/>
          </cell>
        </row>
        <row r="304">
          <cell r="B304" t="str">
            <v/>
          </cell>
          <cell r="G304" t="str">
            <v/>
          </cell>
        </row>
        <row r="305">
          <cell r="B305" t="str">
            <v/>
          </cell>
          <cell r="G305" t="str">
            <v/>
          </cell>
        </row>
        <row r="306">
          <cell r="B306" t="str">
            <v/>
          </cell>
          <cell r="G306" t="str">
            <v/>
          </cell>
        </row>
        <row r="307">
          <cell r="B307" t="str">
            <v/>
          </cell>
          <cell r="G307" t="str">
            <v/>
          </cell>
        </row>
        <row r="308">
          <cell r="B308" t="str">
            <v/>
          </cell>
          <cell r="G308" t="str">
            <v/>
          </cell>
        </row>
        <row r="309">
          <cell r="B309" t="str">
            <v/>
          </cell>
          <cell r="G309" t="str">
            <v/>
          </cell>
        </row>
        <row r="310">
          <cell r="B310" t="str">
            <v/>
          </cell>
          <cell r="G310" t="str">
            <v/>
          </cell>
        </row>
        <row r="311">
          <cell r="B311" t="str">
            <v/>
          </cell>
          <cell r="G311" t="str">
            <v/>
          </cell>
        </row>
        <row r="312">
          <cell r="B312" t="str">
            <v/>
          </cell>
          <cell r="G312" t="str">
            <v/>
          </cell>
        </row>
        <row r="313">
          <cell r="B313" t="str">
            <v/>
          </cell>
          <cell r="G313" t="str">
            <v/>
          </cell>
        </row>
        <row r="314">
          <cell r="B314" t="str">
            <v/>
          </cell>
          <cell r="G314" t="str">
            <v/>
          </cell>
        </row>
        <row r="315">
          <cell r="B315" t="str">
            <v/>
          </cell>
          <cell r="G315" t="str">
            <v/>
          </cell>
        </row>
        <row r="316">
          <cell r="B316" t="str">
            <v/>
          </cell>
          <cell r="G316" t="str">
            <v/>
          </cell>
        </row>
        <row r="317">
          <cell r="B317" t="str">
            <v/>
          </cell>
          <cell r="G317" t="str">
            <v/>
          </cell>
        </row>
        <row r="318">
          <cell r="B318" t="str">
            <v/>
          </cell>
          <cell r="G318" t="str">
            <v/>
          </cell>
        </row>
        <row r="319">
          <cell r="B319" t="str">
            <v/>
          </cell>
          <cell r="G319" t="str">
            <v/>
          </cell>
        </row>
        <row r="320">
          <cell r="B320" t="str">
            <v/>
          </cell>
          <cell r="G320" t="str">
            <v/>
          </cell>
        </row>
        <row r="321">
          <cell r="B321" t="str">
            <v/>
          </cell>
          <cell r="G321" t="str">
            <v/>
          </cell>
        </row>
        <row r="322">
          <cell r="B322" t="str">
            <v/>
          </cell>
          <cell r="G322" t="str">
            <v/>
          </cell>
        </row>
        <row r="323">
          <cell r="B323" t="str">
            <v/>
          </cell>
          <cell r="G323" t="str">
            <v/>
          </cell>
        </row>
        <row r="324">
          <cell r="B324" t="str">
            <v/>
          </cell>
          <cell r="G324" t="str">
            <v/>
          </cell>
        </row>
        <row r="325">
          <cell r="B325" t="str">
            <v/>
          </cell>
          <cell r="G325" t="str">
            <v/>
          </cell>
        </row>
        <row r="326">
          <cell r="B326" t="str">
            <v/>
          </cell>
          <cell r="G326" t="str">
            <v/>
          </cell>
        </row>
        <row r="327">
          <cell r="B327" t="str">
            <v/>
          </cell>
          <cell r="G327" t="str">
            <v/>
          </cell>
        </row>
        <row r="328">
          <cell r="B328" t="str">
            <v/>
          </cell>
          <cell r="G328" t="str">
            <v/>
          </cell>
        </row>
        <row r="329">
          <cell r="B329" t="str">
            <v/>
          </cell>
          <cell r="G329" t="str">
            <v/>
          </cell>
        </row>
        <row r="330">
          <cell r="B330" t="str">
            <v/>
          </cell>
          <cell r="G330" t="str">
            <v/>
          </cell>
        </row>
        <row r="331">
          <cell r="B331" t="str">
            <v/>
          </cell>
          <cell r="G331" t="str">
            <v/>
          </cell>
        </row>
        <row r="332">
          <cell r="B332" t="str">
            <v/>
          </cell>
          <cell r="G332" t="str">
            <v/>
          </cell>
        </row>
        <row r="333">
          <cell r="B333" t="str">
            <v/>
          </cell>
          <cell r="G333" t="str">
            <v/>
          </cell>
        </row>
        <row r="334">
          <cell r="B334" t="str">
            <v/>
          </cell>
          <cell r="G334" t="str">
            <v/>
          </cell>
        </row>
        <row r="335">
          <cell r="B335" t="str">
            <v/>
          </cell>
          <cell r="G335" t="str">
            <v/>
          </cell>
        </row>
        <row r="336">
          <cell r="B336" t="str">
            <v/>
          </cell>
          <cell r="G336" t="str">
            <v/>
          </cell>
        </row>
        <row r="337">
          <cell r="B337" t="str">
            <v/>
          </cell>
          <cell r="G337" t="str">
            <v/>
          </cell>
        </row>
        <row r="338">
          <cell r="B338" t="str">
            <v/>
          </cell>
          <cell r="G338" t="str">
            <v/>
          </cell>
        </row>
        <row r="339">
          <cell r="B339" t="str">
            <v/>
          </cell>
          <cell r="G339" t="str">
            <v/>
          </cell>
        </row>
        <row r="340">
          <cell r="B340" t="str">
            <v/>
          </cell>
          <cell r="G340" t="str">
            <v/>
          </cell>
        </row>
        <row r="341">
          <cell r="B341" t="str">
            <v/>
          </cell>
          <cell r="G341" t="str">
            <v/>
          </cell>
        </row>
        <row r="342">
          <cell r="B342" t="str">
            <v/>
          </cell>
          <cell r="G342" t="str">
            <v/>
          </cell>
        </row>
        <row r="343">
          <cell r="B343" t="str">
            <v/>
          </cell>
          <cell r="G343" t="str">
            <v/>
          </cell>
        </row>
        <row r="344">
          <cell r="B344" t="str">
            <v/>
          </cell>
          <cell r="G344" t="str">
            <v/>
          </cell>
        </row>
        <row r="345">
          <cell r="B345" t="str">
            <v/>
          </cell>
          <cell r="G345" t="str">
            <v/>
          </cell>
        </row>
        <row r="346">
          <cell r="B346" t="str">
            <v/>
          </cell>
          <cell r="G346" t="str">
            <v/>
          </cell>
        </row>
        <row r="347">
          <cell r="B347" t="str">
            <v/>
          </cell>
          <cell r="G347" t="str">
            <v/>
          </cell>
        </row>
        <row r="348">
          <cell r="B348" t="str">
            <v/>
          </cell>
          <cell r="G348" t="str">
            <v/>
          </cell>
        </row>
        <row r="349">
          <cell r="B349" t="str">
            <v/>
          </cell>
          <cell r="G349" t="str">
            <v/>
          </cell>
        </row>
        <row r="350">
          <cell r="B350" t="str">
            <v/>
          </cell>
          <cell r="G350" t="str">
            <v/>
          </cell>
        </row>
        <row r="351">
          <cell r="B351" t="str">
            <v/>
          </cell>
          <cell r="G351" t="str">
            <v/>
          </cell>
        </row>
        <row r="352">
          <cell r="B352" t="str">
            <v/>
          </cell>
          <cell r="G352" t="str">
            <v/>
          </cell>
        </row>
        <row r="353">
          <cell r="B353" t="str">
            <v/>
          </cell>
          <cell r="G353" t="str">
            <v/>
          </cell>
        </row>
        <row r="354">
          <cell r="B354" t="str">
            <v/>
          </cell>
          <cell r="G354" t="str">
            <v/>
          </cell>
        </row>
        <row r="355">
          <cell r="B355" t="str">
            <v/>
          </cell>
          <cell r="G355" t="str">
            <v/>
          </cell>
        </row>
        <row r="356">
          <cell r="B356" t="str">
            <v/>
          </cell>
          <cell r="G356" t="str">
            <v/>
          </cell>
        </row>
        <row r="357">
          <cell r="B357" t="str">
            <v/>
          </cell>
          <cell r="G357" t="str">
            <v/>
          </cell>
        </row>
        <row r="358">
          <cell r="B358" t="str">
            <v/>
          </cell>
          <cell r="G358" t="str">
            <v/>
          </cell>
        </row>
        <row r="359">
          <cell r="B359" t="str">
            <v/>
          </cell>
          <cell r="G359" t="str">
            <v/>
          </cell>
        </row>
        <row r="360">
          <cell r="B360" t="str">
            <v/>
          </cell>
          <cell r="G360" t="str">
            <v/>
          </cell>
        </row>
        <row r="361">
          <cell r="B361" t="str">
            <v/>
          </cell>
          <cell r="G361" t="str">
            <v/>
          </cell>
        </row>
        <row r="362">
          <cell r="B362" t="str">
            <v/>
          </cell>
          <cell r="G362" t="str">
            <v/>
          </cell>
        </row>
        <row r="363">
          <cell r="B363" t="str">
            <v/>
          </cell>
          <cell r="G363" t="str">
            <v/>
          </cell>
        </row>
        <row r="364">
          <cell r="B364" t="str">
            <v/>
          </cell>
          <cell r="G364" t="str">
            <v/>
          </cell>
        </row>
        <row r="365">
          <cell r="B365" t="str">
            <v/>
          </cell>
          <cell r="G365" t="str">
            <v/>
          </cell>
        </row>
        <row r="366">
          <cell r="B366" t="str">
            <v/>
          </cell>
          <cell r="G366" t="str">
            <v/>
          </cell>
        </row>
        <row r="367">
          <cell r="B367" t="str">
            <v/>
          </cell>
          <cell r="G367" t="str">
            <v/>
          </cell>
        </row>
        <row r="368">
          <cell r="B368" t="str">
            <v/>
          </cell>
          <cell r="G368" t="str">
            <v/>
          </cell>
        </row>
        <row r="369">
          <cell r="B369" t="str">
            <v/>
          </cell>
          <cell r="G369" t="str">
            <v/>
          </cell>
        </row>
        <row r="370">
          <cell r="B370" t="str">
            <v/>
          </cell>
          <cell r="G370" t="str">
            <v/>
          </cell>
        </row>
        <row r="371">
          <cell r="B371" t="str">
            <v/>
          </cell>
          <cell r="G371" t="str">
            <v/>
          </cell>
        </row>
        <row r="372">
          <cell r="B372" t="str">
            <v/>
          </cell>
          <cell r="G372" t="str">
            <v/>
          </cell>
        </row>
        <row r="373">
          <cell r="B373" t="str">
            <v/>
          </cell>
          <cell r="G373" t="str">
            <v/>
          </cell>
        </row>
        <row r="374">
          <cell r="B374" t="str">
            <v/>
          </cell>
          <cell r="G374" t="str">
            <v/>
          </cell>
        </row>
        <row r="375">
          <cell r="B375" t="str">
            <v/>
          </cell>
          <cell r="G375" t="str">
            <v/>
          </cell>
        </row>
        <row r="376">
          <cell r="B376" t="str">
            <v/>
          </cell>
          <cell r="G376" t="str">
            <v/>
          </cell>
        </row>
        <row r="377">
          <cell r="B377" t="str">
            <v/>
          </cell>
          <cell r="G377" t="str">
            <v/>
          </cell>
        </row>
        <row r="378">
          <cell r="B378" t="str">
            <v/>
          </cell>
          <cell r="G378" t="str">
            <v/>
          </cell>
        </row>
        <row r="379">
          <cell r="B379" t="str">
            <v/>
          </cell>
          <cell r="G379" t="str">
            <v/>
          </cell>
        </row>
        <row r="380">
          <cell r="B380" t="str">
            <v/>
          </cell>
          <cell r="G380" t="str">
            <v/>
          </cell>
        </row>
        <row r="381">
          <cell r="B381" t="str">
            <v/>
          </cell>
          <cell r="G381" t="str">
            <v/>
          </cell>
        </row>
        <row r="382">
          <cell r="B382" t="str">
            <v/>
          </cell>
          <cell r="G382" t="str">
            <v/>
          </cell>
        </row>
        <row r="383">
          <cell r="B383" t="str">
            <v/>
          </cell>
          <cell r="G383" t="str">
            <v/>
          </cell>
        </row>
        <row r="384">
          <cell r="B384" t="str">
            <v/>
          </cell>
          <cell r="G384" t="str">
            <v/>
          </cell>
        </row>
        <row r="385">
          <cell r="B385" t="str">
            <v/>
          </cell>
          <cell r="G385" t="str">
            <v/>
          </cell>
        </row>
        <row r="386">
          <cell r="B386" t="str">
            <v/>
          </cell>
          <cell r="G386" t="str">
            <v/>
          </cell>
        </row>
        <row r="387">
          <cell r="B387" t="str">
            <v/>
          </cell>
          <cell r="G387" t="str">
            <v/>
          </cell>
        </row>
        <row r="388">
          <cell r="B388" t="str">
            <v/>
          </cell>
          <cell r="G388" t="str">
            <v/>
          </cell>
        </row>
        <row r="389">
          <cell r="B389" t="str">
            <v/>
          </cell>
          <cell r="G389" t="str">
            <v/>
          </cell>
        </row>
        <row r="390">
          <cell r="B390" t="str">
            <v/>
          </cell>
          <cell r="G390" t="str">
            <v/>
          </cell>
        </row>
        <row r="391">
          <cell r="B391" t="str">
            <v/>
          </cell>
          <cell r="G391" t="str">
            <v/>
          </cell>
        </row>
        <row r="392">
          <cell r="B392" t="str">
            <v/>
          </cell>
          <cell r="G392" t="str">
            <v/>
          </cell>
        </row>
        <row r="393">
          <cell r="B393" t="str">
            <v/>
          </cell>
          <cell r="G393" t="str">
            <v/>
          </cell>
        </row>
        <row r="394">
          <cell r="B394" t="str">
            <v/>
          </cell>
          <cell r="G394" t="str">
            <v/>
          </cell>
        </row>
        <row r="395">
          <cell r="B395" t="str">
            <v/>
          </cell>
          <cell r="G395" t="str">
            <v/>
          </cell>
        </row>
        <row r="396">
          <cell r="B396" t="str">
            <v/>
          </cell>
          <cell r="G396" t="str">
            <v/>
          </cell>
        </row>
        <row r="397">
          <cell r="B397" t="str">
            <v/>
          </cell>
          <cell r="G397" t="str">
            <v/>
          </cell>
        </row>
        <row r="398">
          <cell r="B398" t="str">
            <v/>
          </cell>
          <cell r="G398" t="str">
            <v/>
          </cell>
        </row>
        <row r="399">
          <cell r="B399" t="str">
            <v/>
          </cell>
          <cell r="G399" t="str">
            <v/>
          </cell>
        </row>
        <row r="400">
          <cell r="B400" t="str">
            <v/>
          </cell>
          <cell r="G400" t="str">
            <v/>
          </cell>
        </row>
        <row r="401">
          <cell r="B401" t="str">
            <v/>
          </cell>
          <cell r="G401" t="str">
            <v/>
          </cell>
        </row>
        <row r="402">
          <cell r="B402" t="str">
            <v/>
          </cell>
          <cell r="G402" t="str">
            <v/>
          </cell>
        </row>
        <row r="403">
          <cell r="B403" t="str">
            <v/>
          </cell>
          <cell r="G403" t="str">
            <v/>
          </cell>
        </row>
        <row r="404">
          <cell r="B404" t="str">
            <v/>
          </cell>
          <cell r="G404" t="str">
            <v/>
          </cell>
        </row>
        <row r="405">
          <cell r="B405" t="str">
            <v/>
          </cell>
          <cell r="G405" t="str">
            <v/>
          </cell>
        </row>
        <row r="406">
          <cell r="B406" t="str">
            <v/>
          </cell>
          <cell r="G406" t="str">
            <v/>
          </cell>
        </row>
        <row r="407">
          <cell r="B407" t="str">
            <v/>
          </cell>
          <cell r="G407" t="str">
            <v/>
          </cell>
        </row>
        <row r="408">
          <cell r="B408" t="str">
            <v/>
          </cell>
          <cell r="G408" t="str">
            <v/>
          </cell>
        </row>
        <row r="409">
          <cell r="B409" t="str">
            <v/>
          </cell>
          <cell r="G409" t="str">
            <v/>
          </cell>
        </row>
        <row r="410">
          <cell r="B410" t="str">
            <v/>
          </cell>
          <cell r="G410" t="str">
            <v/>
          </cell>
        </row>
        <row r="411">
          <cell r="B411" t="str">
            <v/>
          </cell>
          <cell r="G411" t="str">
            <v/>
          </cell>
        </row>
        <row r="412">
          <cell r="B412" t="str">
            <v/>
          </cell>
          <cell r="G412" t="str">
            <v/>
          </cell>
        </row>
        <row r="413">
          <cell r="B413" t="str">
            <v/>
          </cell>
          <cell r="G413" t="str">
            <v/>
          </cell>
        </row>
        <row r="414">
          <cell r="B414" t="str">
            <v/>
          </cell>
          <cell r="G414" t="str">
            <v/>
          </cell>
        </row>
        <row r="415">
          <cell r="B415" t="str">
            <v/>
          </cell>
          <cell r="G415" t="str">
            <v/>
          </cell>
        </row>
        <row r="416">
          <cell r="B416" t="str">
            <v/>
          </cell>
          <cell r="G416" t="str">
            <v/>
          </cell>
        </row>
        <row r="417">
          <cell r="B417" t="str">
            <v/>
          </cell>
          <cell r="G417" t="str">
            <v/>
          </cell>
        </row>
        <row r="418">
          <cell r="B418" t="str">
            <v/>
          </cell>
          <cell r="G418" t="str">
            <v/>
          </cell>
        </row>
        <row r="419">
          <cell r="B419" t="str">
            <v/>
          </cell>
          <cell r="G419" t="str">
            <v/>
          </cell>
        </row>
        <row r="420">
          <cell r="B420" t="str">
            <v/>
          </cell>
          <cell r="G420" t="str">
            <v/>
          </cell>
        </row>
        <row r="421">
          <cell r="B421" t="str">
            <v/>
          </cell>
          <cell r="G421" t="str">
            <v/>
          </cell>
        </row>
        <row r="422">
          <cell r="B422" t="str">
            <v/>
          </cell>
          <cell r="G422" t="str">
            <v/>
          </cell>
        </row>
        <row r="423">
          <cell r="B423" t="str">
            <v/>
          </cell>
          <cell r="G423" t="str">
            <v/>
          </cell>
        </row>
        <row r="424">
          <cell r="B424" t="str">
            <v/>
          </cell>
          <cell r="G424" t="str">
            <v/>
          </cell>
        </row>
        <row r="425">
          <cell r="B425" t="str">
            <v/>
          </cell>
          <cell r="G425" t="str">
            <v/>
          </cell>
        </row>
        <row r="426">
          <cell r="B426" t="str">
            <v/>
          </cell>
          <cell r="G426" t="str">
            <v/>
          </cell>
        </row>
        <row r="427">
          <cell r="B427" t="str">
            <v/>
          </cell>
          <cell r="G427" t="str">
            <v/>
          </cell>
        </row>
        <row r="428">
          <cell r="B428" t="str">
            <v/>
          </cell>
          <cell r="G428" t="str">
            <v/>
          </cell>
        </row>
        <row r="429">
          <cell r="B429" t="str">
            <v/>
          </cell>
          <cell r="G429" t="str">
            <v/>
          </cell>
        </row>
        <row r="430">
          <cell r="B430" t="str">
            <v/>
          </cell>
          <cell r="G430" t="str">
            <v/>
          </cell>
        </row>
        <row r="431">
          <cell r="B431" t="str">
            <v/>
          </cell>
          <cell r="G431" t="str">
            <v/>
          </cell>
        </row>
        <row r="432">
          <cell r="B432" t="str">
            <v/>
          </cell>
          <cell r="G432" t="str">
            <v/>
          </cell>
        </row>
        <row r="433">
          <cell r="B433" t="str">
            <v/>
          </cell>
          <cell r="G433" t="str">
            <v/>
          </cell>
        </row>
        <row r="434">
          <cell r="B434" t="str">
            <v/>
          </cell>
          <cell r="G434" t="str">
            <v/>
          </cell>
        </row>
        <row r="435">
          <cell r="B435" t="str">
            <v/>
          </cell>
          <cell r="G435" t="str">
            <v/>
          </cell>
        </row>
        <row r="436">
          <cell r="B436" t="str">
            <v/>
          </cell>
          <cell r="G436" t="str">
            <v/>
          </cell>
        </row>
        <row r="437">
          <cell r="B437" t="str">
            <v/>
          </cell>
          <cell r="G437" t="str">
            <v/>
          </cell>
        </row>
        <row r="438">
          <cell r="B438" t="str">
            <v/>
          </cell>
          <cell r="G438" t="str">
            <v/>
          </cell>
        </row>
        <row r="439">
          <cell r="B439" t="str">
            <v/>
          </cell>
          <cell r="G439" t="str">
            <v/>
          </cell>
        </row>
        <row r="440">
          <cell r="B440" t="str">
            <v/>
          </cell>
          <cell r="G440" t="str">
            <v/>
          </cell>
        </row>
        <row r="441">
          <cell r="B441" t="str">
            <v/>
          </cell>
          <cell r="G441" t="str">
            <v/>
          </cell>
        </row>
        <row r="442">
          <cell r="B442" t="str">
            <v/>
          </cell>
          <cell r="G442" t="str">
            <v/>
          </cell>
        </row>
        <row r="443">
          <cell r="B443" t="str">
            <v/>
          </cell>
          <cell r="G443" t="str">
            <v/>
          </cell>
        </row>
        <row r="444">
          <cell r="B444" t="str">
            <v/>
          </cell>
          <cell r="G444" t="str">
            <v/>
          </cell>
        </row>
        <row r="445">
          <cell r="B445" t="str">
            <v/>
          </cell>
          <cell r="G445" t="str">
            <v/>
          </cell>
        </row>
        <row r="446">
          <cell r="B446" t="str">
            <v/>
          </cell>
          <cell r="G446" t="str">
            <v/>
          </cell>
        </row>
        <row r="447">
          <cell r="B447" t="str">
            <v/>
          </cell>
          <cell r="G447" t="str">
            <v/>
          </cell>
        </row>
        <row r="448">
          <cell r="B448" t="str">
            <v/>
          </cell>
          <cell r="G448" t="str">
            <v/>
          </cell>
        </row>
        <row r="449">
          <cell r="B449" t="str">
            <v/>
          </cell>
          <cell r="G449" t="str">
            <v/>
          </cell>
        </row>
        <row r="450">
          <cell r="B450" t="str">
            <v/>
          </cell>
          <cell r="G450" t="str">
            <v/>
          </cell>
        </row>
        <row r="451">
          <cell r="B451" t="str">
            <v/>
          </cell>
          <cell r="G451" t="str">
            <v/>
          </cell>
        </row>
        <row r="452">
          <cell r="B452" t="str">
            <v/>
          </cell>
          <cell r="G452" t="str">
            <v/>
          </cell>
        </row>
        <row r="453">
          <cell r="B453" t="str">
            <v/>
          </cell>
          <cell r="G453" t="str">
            <v/>
          </cell>
        </row>
        <row r="454">
          <cell r="B454" t="str">
            <v/>
          </cell>
          <cell r="G454" t="str">
            <v/>
          </cell>
        </row>
        <row r="455">
          <cell r="B455" t="str">
            <v/>
          </cell>
          <cell r="G455" t="str">
            <v/>
          </cell>
        </row>
        <row r="456">
          <cell r="B456" t="str">
            <v/>
          </cell>
          <cell r="G456" t="str">
            <v/>
          </cell>
        </row>
        <row r="457">
          <cell r="B457" t="str">
            <v/>
          </cell>
          <cell r="G457" t="str">
            <v/>
          </cell>
        </row>
        <row r="458">
          <cell r="B458" t="str">
            <v/>
          </cell>
          <cell r="G458" t="str">
            <v/>
          </cell>
        </row>
        <row r="459">
          <cell r="B459" t="str">
            <v/>
          </cell>
          <cell r="G459" t="str">
            <v/>
          </cell>
        </row>
        <row r="460">
          <cell r="B460" t="str">
            <v/>
          </cell>
          <cell r="G460" t="str">
            <v/>
          </cell>
        </row>
        <row r="461">
          <cell r="B461" t="str">
            <v/>
          </cell>
          <cell r="G461" t="str">
            <v/>
          </cell>
        </row>
        <row r="462">
          <cell r="B462" t="str">
            <v/>
          </cell>
          <cell r="G462" t="str">
            <v/>
          </cell>
        </row>
        <row r="463">
          <cell r="B463" t="str">
            <v/>
          </cell>
          <cell r="G463" t="str">
            <v/>
          </cell>
        </row>
        <row r="464">
          <cell r="B464" t="str">
            <v/>
          </cell>
          <cell r="G464" t="str">
            <v/>
          </cell>
        </row>
        <row r="465">
          <cell r="B465" t="str">
            <v/>
          </cell>
          <cell r="G465" t="str">
            <v/>
          </cell>
        </row>
        <row r="466">
          <cell r="B466" t="str">
            <v/>
          </cell>
          <cell r="G466" t="str">
            <v/>
          </cell>
        </row>
        <row r="467">
          <cell r="B467" t="str">
            <v/>
          </cell>
          <cell r="G467" t="str">
            <v/>
          </cell>
        </row>
        <row r="468">
          <cell r="B468" t="str">
            <v/>
          </cell>
          <cell r="G468" t="str">
            <v/>
          </cell>
        </row>
        <row r="469">
          <cell r="B469" t="str">
            <v/>
          </cell>
          <cell r="G469" t="str">
            <v/>
          </cell>
        </row>
        <row r="470">
          <cell r="B470" t="str">
            <v/>
          </cell>
          <cell r="G470" t="str">
            <v/>
          </cell>
        </row>
        <row r="471">
          <cell r="B471" t="str">
            <v/>
          </cell>
          <cell r="G471" t="str">
            <v/>
          </cell>
        </row>
        <row r="472">
          <cell r="B472" t="str">
            <v/>
          </cell>
          <cell r="G472" t="str">
            <v/>
          </cell>
        </row>
        <row r="473">
          <cell r="B473" t="str">
            <v/>
          </cell>
          <cell r="G473" t="str">
            <v/>
          </cell>
        </row>
        <row r="474">
          <cell r="B474" t="str">
            <v/>
          </cell>
          <cell r="G474" t="str">
            <v/>
          </cell>
        </row>
        <row r="475">
          <cell r="B475" t="str">
            <v/>
          </cell>
          <cell r="G475" t="str">
            <v/>
          </cell>
        </row>
        <row r="476">
          <cell r="B476" t="str">
            <v/>
          </cell>
          <cell r="G476" t="str">
            <v/>
          </cell>
        </row>
        <row r="477">
          <cell r="B477" t="str">
            <v/>
          </cell>
          <cell r="G477" t="str">
            <v/>
          </cell>
        </row>
        <row r="478">
          <cell r="B478" t="str">
            <v/>
          </cell>
          <cell r="G478" t="str">
            <v/>
          </cell>
        </row>
        <row r="479">
          <cell r="B479" t="str">
            <v/>
          </cell>
          <cell r="G479" t="str">
            <v/>
          </cell>
        </row>
        <row r="480">
          <cell r="B480" t="str">
            <v/>
          </cell>
          <cell r="G480" t="str">
            <v/>
          </cell>
        </row>
        <row r="481">
          <cell r="B481" t="str">
            <v/>
          </cell>
          <cell r="G481" t="str">
            <v/>
          </cell>
        </row>
        <row r="482">
          <cell r="B482" t="str">
            <v/>
          </cell>
          <cell r="G482" t="str">
            <v/>
          </cell>
        </row>
        <row r="483">
          <cell r="B483" t="str">
            <v/>
          </cell>
          <cell r="G483" t="str">
            <v/>
          </cell>
        </row>
        <row r="484">
          <cell r="B484" t="str">
            <v/>
          </cell>
          <cell r="G484" t="str">
            <v/>
          </cell>
        </row>
        <row r="485">
          <cell r="B485" t="str">
            <v/>
          </cell>
          <cell r="G485" t="str">
            <v/>
          </cell>
        </row>
        <row r="486">
          <cell r="B486" t="str">
            <v/>
          </cell>
          <cell r="G486" t="str">
            <v/>
          </cell>
        </row>
        <row r="487">
          <cell r="B487" t="str">
            <v/>
          </cell>
          <cell r="G487" t="str">
            <v/>
          </cell>
        </row>
        <row r="488">
          <cell r="B488" t="str">
            <v/>
          </cell>
          <cell r="G488" t="str">
            <v/>
          </cell>
        </row>
        <row r="489">
          <cell r="B489" t="str">
            <v/>
          </cell>
          <cell r="G489" t="str">
            <v/>
          </cell>
        </row>
        <row r="490">
          <cell r="B490" t="str">
            <v/>
          </cell>
          <cell r="G490" t="str">
            <v/>
          </cell>
        </row>
        <row r="491">
          <cell r="B491" t="str">
            <v/>
          </cell>
          <cell r="G491" t="str">
            <v/>
          </cell>
        </row>
        <row r="492">
          <cell r="B492" t="str">
            <v/>
          </cell>
          <cell r="G492" t="str">
            <v/>
          </cell>
        </row>
        <row r="493">
          <cell r="B493" t="str">
            <v/>
          </cell>
          <cell r="G493" t="str">
            <v/>
          </cell>
        </row>
        <row r="494">
          <cell r="B494" t="str">
            <v/>
          </cell>
          <cell r="G494" t="str">
            <v/>
          </cell>
        </row>
        <row r="495">
          <cell r="B495" t="str">
            <v/>
          </cell>
          <cell r="G495" t="str">
            <v/>
          </cell>
        </row>
        <row r="496">
          <cell r="B496" t="str">
            <v/>
          </cell>
          <cell r="G496" t="str">
            <v/>
          </cell>
        </row>
        <row r="497">
          <cell r="B497" t="str">
            <v/>
          </cell>
          <cell r="G497" t="str">
            <v/>
          </cell>
        </row>
        <row r="498">
          <cell r="B498" t="str">
            <v/>
          </cell>
          <cell r="G498" t="str">
            <v/>
          </cell>
        </row>
        <row r="499">
          <cell r="B499" t="str">
            <v/>
          </cell>
          <cell r="G499" t="str">
            <v/>
          </cell>
        </row>
        <row r="500">
          <cell r="B500" t="str">
            <v/>
          </cell>
          <cell r="G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</v>
    <v>5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52" dataDxfId="51">
  <autoFilter ref="O26:S35" xr:uid="{FFCC3C44-1CAD-4E5A-955E-D7ACCED74482}"/>
  <tableColumns count="5">
    <tableColumn id="1" xr3:uid="{6B4D1C90-436A-4487-8B38-05FA483EFB2C}" name="Clichê" dataDxfId="50"/>
    <tableColumn id="2" xr3:uid="{E6AC7155-EC99-4DAB-BAE6-240B255C0965}" name="Valor Clichê" dataDxfId="49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48"/>
    <tableColumn id="4" xr3:uid="{AFDD145A-B3DD-40E9-A6FF-ED9F43900F2E}" name="Valor Final" dataDxfId="47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46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45" dataDxfId="44">
  <autoFilter ref="O26:S35" xr:uid="{D667FBB6-3AA2-4CEB-9A78-5A9EA58C4152}"/>
  <tableColumns count="5">
    <tableColumn id="1" xr3:uid="{B1E52DA5-D382-4D5E-92D9-FEEEDA59F94C}" name="Clichê" dataDxfId="43">
      <calculatedColumnFormula>IF('Tiragem - 1'!O27=0,"",'Tiragem - 1'!O27)</calculatedColumnFormula>
    </tableColumn>
    <tableColumn id="2" xr3:uid="{EA1151D7-E332-43FF-A419-147ED0C9597C}" name="Valor Clichê" dataDxfId="42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41"/>
    <tableColumn id="4" xr3:uid="{F48B5139-56D1-4FB8-82E0-A43A3A59C35B}" name="Valor Final" dataDxfId="40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39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38" dataDxfId="37">
  <autoFilter ref="O26:S35" xr:uid="{D153363D-C9A9-4EF5-8963-916E8D30EAB7}"/>
  <tableColumns count="5">
    <tableColumn id="1" xr3:uid="{3061DAEE-28C0-4AE0-A271-81F44FE1B594}" name="Clichê" dataDxfId="36">
      <calculatedColumnFormula>IF('Tiragem - 1'!O27=0,"",'Tiragem - 1'!O27)</calculatedColumnFormula>
    </tableColumn>
    <tableColumn id="2" xr3:uid="{43BD9585-7987-45CD-BCFD-E15576371C86}" name="Valor Clichê" dataDxfId="35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34"/>
    <tableColumn id="4" xr3:uid="{294777C8-A1DA-497F-8D00-7C80FD6707AF}" name="Valor Final" dataDxfId="33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32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31" dataDxfId="30">
  <autoFilter ref="O26:S35" xr:uid="{D153363D-C9A9-4EF5-8963-916E8D30EAB7}"/>
  <tableColumns count="5">
    <tableColumn id="1" xr3:uid="{8852BAF3-80D7-4750-853D-00929EC618FD}" name="Clichê" dataDxfId="29">
      <calculatedColumnFormula>IF('Tiragem - 1'!O27=0,"",'Tiragem - 1'!O27)</calculatedColumnFormula>
    </tableColumn>
    <tableColumn id="2" xr3:uid="{C9F2D34E-796A-4CBE-85D4-D4EAE12D0653}" name="Valor Clichê" dataDxfId="28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27"/>
    <tableColumn id="4" xr3:uid="{02458D46-2637-4C75-83A2-B8CBB05C2887}" name="Valor Final" dataDxfId="26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25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14" dataDxfId="13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1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tableBorderDxfId="11">
  <autoFilter ref="D3:E8" xr:uid="{2D6C778C-FCEF-4489-9367-9D077DFCD490}"/>
  <tableColumns count="2">
    <tableColumn id="1" xr3:uid="{97913FFD-BCF4-4BF9-A37B-0B818F2E7980}" name="Cores" dataDxfId="10"/>
    <tableColumn id="2" xr3:uid="{9F30A5F1-B82B-48F0-9AF6-8CF19FA244F9}" name="Descrição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7" totalsRowShown="0" headerRowDxfId="9" dataDxfId="8">
  <autoFilter ref="G3:G7" xr:uid="{59F1BBA7-3FBA-4929-9437-09F16222788D}"/>
  <tableColumns count="1">
    <tableColumn id="1" xr3:uid="{430A0CC3-ED85-4082-A8BE-5CE5E24FE05F}" name="1X0" dataDxfId="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6" totalsRowShown="0" headerRowDxfId="6" dataDxfId="5" tableBorderDxfId="4">
  <autoFilter ref="I3:I6" xr:uid="{09C3DCF0-A344-47BE-98F0-872D1292B3D4}"/>
  <tableColumns count="1">
    <tableColumn id="1" xr3:uid="{042EAF0E-6C55-409B-8566-9C7817F6C7BF}" name="Lados" dataDxfId="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2" dataDxfId="1">
  <autoFilter ref="K3:K13" xr:uid="{4578A185-BE0B-4688-B23E-0D304E32A849}"/>
  <tableColumns count="1">
    <tableColumn id="1" xr3:uid="{1E26AE01-8352-49BB-BA10-6EA08A8C6681}" name="Dado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tabSelected="1" workbookViewId="0">
      <selection activeCell="B3" sqref="B3:D3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8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1" t="s">
        <v>3</v>
      </c>
      <c r="C2" s="101"/>
      <c r="D2" s="101"/>
      <c r="E2" s="7" t="s">
        <v>8</v>
      </c>
      <c r="F2" s="8"/>
      <c r="G2" s="9" t="s">
        <v>10</v>
      </c>
      <c r="H2" s="10" t="s">
        <v>4</v>
      </c>
      <c r="I2" s="67" t="s">
        <v>11</v>
      </c>
      <c r="J2" s="9" t="s">
        <v>7</v>
      </c>
      <c r="K2" s="9" t="s">
        <v>12</v>
      </c>
      <c r="L2" s="10" t="s">
        <v>29</v>
      </c>
      <c r="N2" s="92" t="s">
        <v>22</v>
      </c>
      <c r="O2" s="92"/>
      <c r="P2" s="92"/>
      <c r="Q2" s="92"/>
      <c r="R2" s="92"/>
      <c r="S2" s="92"/>
      <c r="U2" t="s">
        <v>24</v>
      </c>
    </row>
    <row r="3" spans="2:23" x14ac:dyDescent="0.25">
      <c r="B3" s="98"/>
      <c r="C3" s="99"/>
      <c r="D3" s="100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6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8"/>
      <c r="C4" s="99"/>
      <c r="D4" s="100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6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8"/>
      <c r="C5" s="99"/>
      <c r="D5" s="100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6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98"/>
      <c r="C6" s="99"/>
      <c r="D6" s="100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6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8"/>
      <c r="C7" s="99"/>
      <c r="D7" s="100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6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7" t="s">
        <v>2</v>
      </c>
      <c r="F9" s="97"/>
      <c r="G9" s="97"/>
      <c r="H9" s="97"/>
      <c r="I9" s="67" t="s">
        <v>9</v>
      </c>
      <c r="K9" s="8" t="s">
        <v>58</v>
      </c>
      <c r="L9" s="8" t="s">
        <v>13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94" t="s">
        <v>90</v>
      </c>
      <c r="F10" s="95"/>
      <c r="G10" s="95"/>
      <c r="H10" s="96"/>
      <c r="I10" s="68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94"/>
      <c r="F11" s="95"/>
      <c r="G11" s="95"/>
      <c r="H11" s="96"/>
      <c r="I11" s="68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94"/>
      <c r="F12" s="95"/>
      <c r="G12" s="95"/>
      <c r="H12" s="96"/>
      <c r="I12" s="68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94"/>
      <c r="F13" s="95"/>
      <c r="G13" s="95"/>
      <c r="H13" s="96"/>
      <c r="I13" s="68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40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94"/>
      <c r="F14" s="95"/>
      <c r="G14" s="95"/>
      <c r="H14" s="96"/>
      <c r="I14" s="68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28</v>
      </c>
      <c r="F16" s="31" t="s">
        <v>9</v>
      </c>
      <c r="G16" s="31" t="s">
        <v>1</v>
      </c>
      <c r="H16" s="31" t="s">
        <v>29</v>
      </c>
      <c r="J16" s="93" t="s">
        <v>15</v>
      </c>
      <c r="K16" s="93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51</v>
      </c>
    </row>
    <row r="17" spans="2:26" x14ac:dyDescent="0.25">
      <c r="B17" s="4"/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50</v>
      </c>
      <c r="V17" s="16"/>
      <c r="W17" s="65">
        <v>100</v>
      </c>
    </row>
    <row r="18" spans="2:26" x14ac:dyDescent="0.25">
      <c r="B18" s="4"/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2"/>
      <c r="K18" s="39" t="s">
        <v>42</v>
      </c>
      <c r="L18" s="40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2"/>
      <c r="K20" s="51" t="s">
        <v>16</v>
      </c>
      <c r="L20" s="43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2"/>
      <c r="K21" s="51" t="s">
        <v>14</v>
      </c>
      <c r="L21" s="44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2"/>
      <c r="K22" s="52" t="s">
        <v>41</v>
      </c>
      <c r="L22" s="43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2"/>
      <c r="K24" s="53" t="str">
        <f>L29&amp;"x no cartão de crédito"</f>
        <v>3x no cartão de crédito</v>
      </c>
      <c r="L24" s="45">
        <f>L26/L29</f>
        <v>0</v>
      </c>
      <c r="N24" s="92" t="s">
        <v>23</v>
      </c>
      <c r="O24" s="92"/>
      <c r="P24" s="92"/>
      <c r="Q24" s="92"/>
      <c r="R24" s="92"/>
      <c r="S24" s="92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2"/>
      <c r="K25" s="54" t="s">
        <v>39</v>
      </c>
      <c r="L25" s="44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2"/>
      <c r="K26" s="55" t="s">
        <v>38</v>
      </c>
      <c r="L26" s="46">
        <f>L22+L35</f>
        <v>0</v>
      </c>
      <c r="O26" s="58" t="s">
        <v>54</v>
      </c>
      <c r="P26" s="58" t="s">
        <v>55</v>
      </c>
      <c r="Q26" s="58" t="s">
        <v>1</v>
      </c>
      <c r="R26" s="58" t="s">
        <v>56</v>
      </c>
      <c r="S26" s="58" t="s">
        <v>57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70"/>
      <c r="P27" s="82" t="str">
        <f>IF(Tabela3[[#This Row],[Clichê]]="","",_xlfn.XLOOKUP(Tabela3[[#This Row],[Clichê]],[1]!HotStamping[ID],[1]!HotStamping[Valor Clichê],"Valor Não Encontrado",0,1))</f>
        <v/>
      </c>
      <c r="Q27" s="70"/>
      <c r="R27" s="82" t="e" cm="1" vm="1">
        <f t="array" aca="1" ref="R27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27" s="70" t="e" cm="1" vm="1">
        <f t="array" aca="1" ref="S27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2"/>
      <c r="K28" s="55" t="s">
        <v>43</v>
      </c>
      <c r="L28" s="47">
        <f>IFERROR(VLOOKUP(L29,N3:S12,5,FALSE),"")</f>
        <v>7.5384615384615397E-2</v>
      </c>
      <c r="O28" s="70"/>
      <c r="P28" s="82" t="str">
        <f>IF(Tabela3[[#This Row],[Clichê]]="","",_xlfn.XLOOKUP(Tabela3[[#This Row],[Clichê]],[1]!HotStamping[ID],[1]!HotStamping[Valor Clichê],"Valor Não Encontrado",0,1))</f>
        <v/>
      </c>
      <c r="Q28" s="70"/>
      <c r="R28" s="82" t="e" cm="1" vm="1">
        <f t="array" aca="1" ref="R28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28" s="70" t="e" cm="1" vm="1">
        <f t="array" aca="1" ref="S28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2"/>
      <c r="K29" s="55" t="s">
        <v>44</v>
      </c>
      <c r="L29" s="48">
        <v>3</v>
      </c>
      <c r="O29" s="70"/>
      <c r="P29" s="82" t="str">
        <f>IF(Tabela3[[#This Row],[Clichê]]="","",_xlfn.XLOOKUP(Tabela3[[#This Row],[Clichê]],[1]!HotStamping[ID],[1]!HotStamping[Valor Clichê],"Valor Não Encontrado",0,1))</f>
        <v/>
      </c>
      <c r="Q29" s="70"/>
      <c r="R29" s="82" t="e" cm="1" vm="1">
        <f t="array" aca="1" ref="R29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29" s="70" t="e" cm="1" vm="1">
        <f t="array" aca="1" ref="S29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  <c r="Z29" s="18"/>
    </row>
    <row r="30" spans="2:26" x14ac:dyDescent="0.25">
      <c r="B30" s="39" t="s">
        <v>30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70"/>
      <c r="P30" s="82" t="str">
        <f>IF(Tabela3[[#This Row],[Clichê]]="","",_xlfn.XLOOKUP(Tabela3[[#This Row],[Clichê]],[1]!HotStamping[ID],[1]!HotStamping[Valor Clichê],"Valor Não Encontrado",0,1))</f>
        <v/>
      </c>
      <c r="Q30" s="70"/>
      <c r="R30" s="82" t="e" cm="1" vm="1">
        <f t="array" aca="1" ref="R30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30" s="70" t="e" cm="1" vm="1">
        <f t="array" aca="1" ref="S30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  <row r="31" spans="2:26" x14ac:dyDescent="0.25">
      <c r="B31" s="39" t="s">
        <v>31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2"/>
      <c r="K31" s="55" t="s">
        <v>36</v>
      </c>
      <c r="L31" s="45">
        <f>L32+L33</f>
        <v>0</v>
      </c>
      <c r="O31" s="70"/>
      <c r="P31" s="82" t="str">
        <f>IF(Tabela3[[#This Row],[Clichê]]="","",_xlfn.XLOOKUP(Tabela3[[#This Row],[Clichê]],[1]!HotStamping[ID],[1]!HotStamping[Valor Clichê],"Valor Não Encontrado",0,1))</f>
        <v/>
      </c>
      <c r="Q31" s="70"/>
      <c r="R31" s="82" t="e" cm="1" vm="1">
        <f t="array" aca="1" ref="R31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31" s="70" t="e" cm="1" vm="1">
        <f t="array" aca="1" ref="S31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  <row r="32" spans="2:26" x14ac:dyDescent="0.25">
      <c r="B32" s="39" t="s">
        <v>32</v>
      </c>
      <c r="C32" s="28">
        <f>SUM(K10:K14)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2"/>
      <c r="K32" s="55" t="s">
        <v>35</v>
      </c>
      <c r="L32" s="45">
        <f>(C31+C30)+(C31+C30)*L18+(C32)</f>
        <v>0</v>
      </c>
      <c r="O32" s="70"/>
      <c r="P32" s="82" t="str">
        <f>IF(Tabela3[[#This Row],[Clichê]]="","",_xlfn.XLOOKUP(Tabela3[[#This Row],[Clichê]],[1]!HotStamping[ID],[1]!HotStamping[Valor Clichê],"Valor Não Encontrado",0,1))</f>
        <v/>
      </c>
      <c r="Q32" s="70"/>
      <c r="R32" s="82" t="e" cm="1" vm="1">
        <f t="array" aca="1" ref="R32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32" s="70" t="e" cm="1" vm="1">
        <f t="array" aca="1" ref="S32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  <row r="33" spans="2:19" x14ac:dyDescent="0.25">
      <c r="B33" s="39" t="s">
        <v>60</v>
      </c>
      <c r="C33" s="28" t="e" vm="2">
        <f ca="1">SUM(R27:R35)</f>
        <v>#VALUE!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2"/>
      <c r="K33" s="55" t="s">
        <v>34</v>
      </c>
      <c r="L33" s="49" cm="1">
        <f t="array" ref="L33">L32*[1]!InformacoesFixas[Valor]</f>
        <v>0</v>
      </c>
      <c r="O33" s="70"/>
      <c r="P33" s="82" t="str">
        <f>IF(Tabela3[[#This Row],[Clichê]]="","",_xlfn.XLOOKUP(Tabela3[[#This Row],[Clichê]],[1]!HotStamping[ID],[1]!HotStamping[Valor Clichê],"Valor Não Encontrado",0,1))</f>
        <v/>
      </c>
      <c r="Q33" s="70"/>
      <c r="R33" s="82" t="e" cm="1" vm="1">
        <f t="array" aca="1" ref="R33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33" s="70" t="e" cm="1" vm="1">
        <f t="array" aca="1" ref="S33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  <row r="34" spans="2:19" x14ac:dyDescent="0.25">
      <c r="B34" s="39" t="s">
        <v>33</v>
      </c>
      <c r="C34" s="35" t="e" vm="2">
        <f ca="1">SUM(C30:C33)</f>
        <v>#VALUE!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6"/>
      <c r="K34" s="57" t="s">
        <v>17</v>
      </c>
      <c r="L34" s="41" t="e" vm="2">
        <f ca="1">(L31-C34)-L33</f>
        <v>#VALUE!</v>
      </c>
      <c r="O34" s="70"/>
      <c r="P34" s="82" t="str">
        <f>IF(Tabela3[[#This Row],[Clichê]]="","",_xlfn.XLOOKUP(Tabela3[[#This Row],[Clichê]],[1]!HotStamping[ID],[1]!HotStamping[Valor Clichê],"Valor Não Encontrado",0,1))</f>
        <v/>
      </c>
      <c r="Q34" s="70"/>
      <c r="R34" s="82" t="e" cm="1" vm="1">
        <f t="array" aca="1" ref="R34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34" s="70" t="e" cm="1" vm="1">
        <f t="array" aca="1" ref="S34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2"/>
      <c r="K35" s="55" t="s">
        <v>37</v>
      </c>
      <c r="L35" s="50">
        <f>IFERROR(L31*L28,"")</f>
        <v>0</v>
      </c>
      <c r="O35" s="70"/>
      <c r="P35" s="82" t="str">
        <f>IF(Tabela3[[#This Row],[Clichê]]="","",_xlfn.XLOOKUP(Tabela3[[#This Row],[Clichê]],[1]!HotStamping[ID],[1]!HotStamping[Valor Clichê],"Valor Não Encontrado",0,1))</f>
        <v/>
      </c>
      <c r="Q35" s="70"/>
      <c r="R35" s="82" t="e" cm="1" vm="1">
        <f t="array" aca="1" ref="R35" ca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>#VALUE!</v>
      </c>
      <c r="S35" s="70" t="e" cm="1" vm="1">
        <f t="array" aca="1" ref="S35" ca="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>#VALUE!</v>
      </c>
    </row>
  </sheetData>
  <mergeCells count="15">
    <mergeCell ref="B7:D7"/>
    <mergeCell ref="B2:D2"/>
    <mergeCell ref="B3:D3"/>
    <mergeCell ref="B4:D4"/>
    <mergeCell ref="B5:D5"/>
    <mergeCell ref="B6:D6"/>
    <mergeCell ref="N2:S2"/>
    <mergeCell ref="N24:S24"/>
    <mergeCell ref="J16:K16"/>
    <mergeCell ref="E10:H10"/>
    <mergeCell ref="E11:H11"/>
    <mergeCell ref="E12:H12"/>
    <mergeCell ref="E13:H13"/>
    <mergeCell ref="E14:H14"/>
    <mergeCell ref="E9:H9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I10" sqref="I10:I14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8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1" t="s">
        <v>3</v>
      </c>
      <c r="C2" s="101"/>
      <c r="D2" s="101"/>
      <c r="E2" s="7" t="s">
        <v>8</v>
      </c>
      <c r="F2" s="8"/>
      <c r="G2" s="9" t="s">
        <v>10</v>
      </c>
      <c r="H2" s="10" t="s">
        <v>4</v>
      </c>
      <c r="I2" s="67" t="s">
        <v>11</v>
      </c>
      <c r="J2" s="9" t="s">
        <v>7</v>
      </c>
      <c r="K2" s="9" t="s">
        <v>12</v>
      </c>
      <c r="L2" s="10" t="s">
        <v>29</v>
      </c>
      <c r="N2" s="92" t="s">
        <v>22</v>
      </c>
      <c r="O2" s="92"/>
      <c r="P2" s="92"/>
      <c r="Q2" s="92"/>
      <c r="R2" s="92"/>
      <c r="S2" s="92"/>
      <c r="U2" t="s">
        <v>24</v>
      </c>
    </row>
    <row r="3" spans="2:23" x14ac:dyDescent="0.25">
      <c r="B3" s="98" t="str">
        <f>IF('Tiragem - 1'!B3=0,"",'Tiragem - 1'!B3)</f>
        <v/>
      </c>
      <c r="C3" s="99"/>
      <c r="D3" s="100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6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8" t="str">
        <f>IF('Tiragem - 1'!B4=0,"",'Tiragem - 1'!B4)</f>
        <v/>
      </c>
      <c r="C4" s="99"/>
      <c r="D4" s="100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6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8" t="str">
        <f>IF('Tiragem - 1'!B5=0,"",'Tiragem - 1'!B5)</f>
        <v/>
      </c>
      <c r="C5" s="99"/>
      <c r="D5" s="100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6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98" t="str">
        <f>IF('Tiragem - 1'!B6=0,"",'Tiragem - 1'!B6)</f>
        <v/>
      </c>
      <c r="C6" s="99"/>
      <c r="D6" s="100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6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8" t="str">
        <f>IF('Tiragem - 1'!B7=0,"",'Tiragem - 1'!B7)</f>
        <v/>
      </c>
      <c r="C7" s="99"/>
      <c r="D7" s="100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6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7" t="s">
        <v>2</v>
      </c>
      <c r="F9" s="97"/>
      <c r="G9" s="97"/>
      <c r="H9" s="97"/>
      <c r="I9" s="67" t="s">
        <v>9</v>
      </c>
      <c r="K9" s="8" t="s">
        <v>58</v>
      </c>
      <c r="L9" s="8" t="s">
        <v>13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94" t="str">
        <f>IF('Tiragem - 1'!E10=0,"",'Tiragem - 1'!E10)</f>
        <v/>
      </c>
      <c r="F10" s="95"/>
      <c r="G10" s="95"/>
      <c r="H10" s="96"/>
      <c r="I10" s="68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94" t="str">
        <f>IF('Tiragem - 1'!E11=0,"",'Tiragem - 1'!E11)</f>
        <v/>
      </c>
      <c r="F11" s="95"/>
      <c r="G11" s="95"/>
      <c r="H11" s="96"/>
      <c r="I11" s="68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94" t="str">
        <f>IF('Tiragem - 1'!E12=0,"",'Tiragem - 1'!E12)</f>
        <v/>
      </c>
      <c r="F12" s="95"/>
      <c r="G12" s="95"/>
      <c r="H12" s="96"/>
      <c r="I12" s="68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94" t="str">
        <f>IF('Tiragem - 1'!E13=0,"",'Tiragem - 1'!E13)</f>
        <v/>
      </c>
      <c r="F13" s="95"/>
      <c r="G13" s="95"/>
      <c r="H13" s="96"/>
      <c r="I13" s="68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40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94" t="str">
        <f>IF('Tiragem - 1'!E14=0,"",'Tiragem - 1'!E14)</f>
        <v/>
      </c>
      <c r="F14" s="95"/>
      <c r="G14" s="95"/>
      <c r="H14" s="96"/>
      <c r="I14" s="68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28</v>
      </c>
      <c r="F16" s="31" t="s">
        <v>9</v>
      </c>
      <c r="G16" s="31" t="s">
        <v>1</v>
      </c>
      <c r="H16" s="31" t="s">
        <v>29</v>
      </c>
      <c r="J16" s="93" t="s">
        <v>15</v>
      </c>
      <c r="K16" s="93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51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50</v>
      </c>
      <c r="V17" s="16"/>
      <c r="W17" s="65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/>
      <c r="F18" s="30">
        <f>IFERROR(VLOOKUP(E18,[1]!Extras[#Data],2,FALSE),0)</f>
        <v>0</v>
      </c>
      <c r="G18" s="32"/>
      <c r="H18" s="30">
        <f>F18*G18</f>
        <v>0</v>
      </c>
      <c r="J18" s="42"/>
      <c r="K18" s="39" t="s">
        <v>42</v>
      </c>
      <c r="L18" s="40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/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/>
      <c r="F20" s="30">
        <f>IFERROR(VLOOKUP(E20,[1]!Extras[#Data],2,FALSE),0)</f>
        <v>0</v>
      </c>
      <c r="G20" s="32"/>
      <c r="H20" s="30">
        <f t="shared" si="7"/>
        <v>0</v>
      </c>
      <c r="J20" s="42"/>
      <c r="K20" s="51" t="s">
        <v>16</v>
      </c>
      <c r="L20" s="43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/>
      <c r="F21" s="30">
        <f>IFERROR(VLOOKUP(E21,[1]!Extras[#Data],2,FALSE),0)</f>
        <v>0</v>
      </c>
      <c r="G21" s="32"/>
      <c r="H21" s="30">
        <f t="shared" si="7"/>
        <v>0</v>
      </c>
      <c r="J21" s="42"/>
      <c r="K21" s="51" t="s">
        <v>14</v>
      </c>
      <c r="L21" s="44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2"/>
      <c r="K22" s="52" t="s">
        <v>41</v>
      </c>
      <c r="L22" s="43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/>
      <c r="F24" s="30">
        <f>IFERROR(VLOOKUP(E24,[1]!Extras[#Data],2,FALSE),0)</f>
        <v>0</v>
      </c>
      <c r="G24" s="32"/>
      <c r="H24" s="30">
        <f t="shared" si="7"/>
        <v>0</v>
      </c>
      <c r="J24" s="42"/>
      <c r="K24" s="53" t="str">
        <f>L29&amp;"x no cartão de crédito"</f>
        <v>3x no cartão de crédito</v>
      </c>
      <c r="L24" s="45">
        <f>L26/L29</f>
        <v>0</v>
      </c>
      <c r="N24" s="92" t="s">
        <v>23</v>
      </c>
      <c r="O24" s="92"/>
      <c r="P24" s="92"/>
      <c r="Q24" s="92"/>
      <c r="R24" s="92"/>
      <c r="S24" s="92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/>
      <c r="F25" s="30">
        <f>IFERROR(VLOOKUP(E25,[1]!Extras[#Data],2,FALSE),0)</f>
        <v>0</v>
      </c>
      <c r="G25" s="32"/>
      <c r="H25" s="30">
        <f t="shared" si="7"/>
        <v>0</v>
      </c>
      <c r="J25" s="42"/>
      <c r="K25" s="54" t="s">
        <v>39</v>
      </c>
      <c r="L25" s="44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/>
      <c r="F26" s="30">
        <f>IFERROR(VLOOKUP(E26,[1]!Extras[#Data],2,FALSE),0)</f>
        <v>0</v>
      </c>
      <c r="G26" s="32"/>
      <c r="H26" s="30">
        <f t="shared" si="7"/>
        <v>0</v>
      </c>
      <c r="J26" s="42"/>
      <c r="K26" s="55" t="s">
        <v>38</v>
      </c>
      <c r="L26" s="46">
        <f>L22+L35</f>
        <v>0</v>
      </c>
      <c r="O26" s="58" t="s">
        <v>54</v>
      </c>
      <c r="P26" s="58" t="s">
        <v>55</v>
      </c>
      <c r="Q26" s="58" t="s">
        <v>1</v>
      </c>
      <c r="R26" s="58" t="s">
        <v>56</v>
      </c>
      <c r="S26" s="58" t="s">
        <v>57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70" t="str">
        <f>IF('Tiragem - 1'!O27=0,"",'Tiragem - 1'!O27)</f>
        <v/>
      </c>
      <c r="P27" s="82" t="str">
        <f>IF(Tabela32[[#This Row],[Clichê]]="","",_xlfn.XLOOKUP(Tabela32[[#This Row],[Clichê]],[1]!HotStamping[ID],[1]!HotStamping[Valor Clichê],"Valor Não Encontrado",0,1))</f>
        <v/>
      </c>
      <c r="Q27" s="70"/>
      <c r="R27" s="82" t="e" cm="1" vm="1">
        <f t="array" aca="1" ref="R27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27" s="70" t="e" cm="1" vm="1">
        <f t="array" aca="1" ref="S27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/>
      <c r="F28" s="30">
        <f>IFERROR(VLOOKUP(E28,[1]!Extras[#Data],2,FALSE),0)</f>
        <v>0</v>
      </c>
      <c r="G28" s="32"/>
      <c r="H28" s="30">
        <f t="shared" si="7"/>
        <v>0</v>
      </c>
      <c r="J28" s="42"/>
      <c r="K28" s="55" t="s">
        <v>43</v>
      </c>
      <c r="L28" s="47">
        <f>IFERROR(VLOOKUP(L29,N3:S12,5,FALSE),"")</f>
        <v>7.5384615384615397E-2</v>
      </c>
      <c r="O28" s="70" t="str">
        <f>IF('Tiragem - 1'!O28=0,"",'Tiragem - 1'!O28)</f>
        <v/>
      </c>
      <c r="P28" s="82" t="str">
        <f>IF(Tabela32[[#This Row],[Clichê]]="","",_xlfn.XLOOKUP(Tabela32[[#This Row],[Clichê]],[1]!HotStamping[ID],[1]!HotStamping[Valor Clichê],"Valor Não Encontrado",0,1))</f>
        <v/>
      </c>
      <c r="Q28" s="70"/>
      <c r="R28" s="82" t="e" cm="1" vm="1">
        <f t="array" aca="1" ref="R28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28" s="70" t="e" cm="1" vm="1">
        <f t="array" aca="1" ref="S28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2"/>
      <c r="K29" s="55" t="s">
        <v>44</v>
      </c>
      <c r="L29" s="48">
        <v>3</v>
      </c>
      <c r="O29" s="70" t="str">
        <f>IF('Tiragem - 1'!O29=0,"",'Tiragem - 1'!O29)</f>
        <v/>
      </c>
      <c r="P29" s="82" t="str">
        <f>IF(Tabela32[[#This Row],[Clichê]]="","",_xlfn.XLOOKUP(Tabela32[[#This Row],[Clichê]],[1]!HotStamping[ID],[1]!HotStamping[Valor Clichê],"Valor Não Encontrado",0,1))</f>
        <v/>
      </c>
      <c r="Q29" s="70"/>
      <c r="R29" s="82" t="e" cm="1" vm="1">
        <f t="array" aca="1" ref="R29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29" s="70" t="e" cm="1" vm="1">
        <f t="array" aca="1" ref="S29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  <c r="Z29" s="18"/>
    </row>
    <row r="30" spans="2:26" x14ac:dyDescent="0.25">
      <c r="B30" s="39" t="s">
        <v>30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70" t="str">
        <f>IF('Tiragem - 1'!O30=0,"",'Tiragem - 1'!O30)</f>
        <v/>
      </c>
      <c r="P30" s="82" t="str">
        <f>IF(Tabela32[[#This Row],[Clichê]]="","",_xlfn.XLOOKUP(Tabela32[[#This Row],[Clichê]],[1]!HotStamping[ID],[1]!HotStamping[Valor Clichê],"Valor Não Encontrado",0,1))</f>
        <v/>
      </c>
      <c r="Q30" s="70"/>
      <c r="R30" s="82" t="e" cm="1" vm="1">
        <f t="array" aca="1" ref="R30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30" s="70" t="e" cm="1" vm="1">
        <f t="array" aca="1" ref="S30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  <row r="31" spans="2:26" x14ac:dyDescent="0.25">
      <c r="B31" s="39" t="s">
        <v>31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2"/>
      <c r="K31" s="55" t="s">
        <v>36</v>
      </c>
      <c r="L31" s="45">
        <f>L32+L33</f>
        <v>0</v>
      </c>
      <c r="O31" s="70" t="str">
        <f>IF('Tiragem - 1'!O31=0,"",'Tiragem - 1'!O31)</f>
        <v/>
      </c>
      <c r="P31" s="82" t="str">
        <f>IF(Tabela32[[#This Row],[Clichê]]="","",_xlfn.XLOOKUP(Tabela32[[#This Row],[Clichê]],[1]!HotStamping[ID],[1]!HotStamping[Valor Clichê],"Valor Não Encontrado",0,1))</f>
        <v/>
      </c>
      <c r="Q31" s="70"/>
      <c r="R31" s="82" t="e" cm="1" vm="1">
        <f t="array" aca="1" ref="R31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31" s="70" t="e" cm="1" vm="1">
        <f t="array" aca="1" ref="S31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  <row r="32" spans="2:26" x14ac:dyDescent="0.25">
      <c r="B32" s="39" t="s">
        <v>32</v>
      </c>
      <c r="C32" s="28">
        <f>SUM(K10:K14)</f>
        <v>0</v>
      </c>
      <c r="E32" s="29"/>
      <c r="F32" s="30">
        <f>IFERROR(VLOOKUP(E32,[1]!Extras[#Data],2,FALSE),0)</f>
        <v>0</v>
      </c>
      <c r="G32" s="32"/>
      <c r="H32" s="30">
        <f t="shared" si="7"/>
        <v>0</v>
      </c>
      <c r="J32" s="42"/>
      <c r="K32" s="55" t="s">
        <v>35</v>
      </c>
      <c r="L32" s="45">
        <f>(C31+C30)+(C31+C30)*L18+(C32)</f>
        <v>0</v>
      </c>
      <c r="O32" s="70" t="str">
        <f>IF('Tiragem - 1'!O32=0,"",'Tiragem - 1'!O32)</f>
        <v/>
      </c>
      <c r="P32" s="82" t="str">
        <f>IF(Tabela32[[#This Row],[Clichê]]="","",_xlfn.XLOOKUP(Tabela32[[#This Row],[Clichê]],[1]!HotStamping[ID],[1]!HotStamping[Valor Clichê],"Valor Não Encontrado",0,1))</f>
        <v/>
      </c>
      <c r="Q32" s="70"/>
      <c r="R32" s="82" t="e" cm="1" vm="1">
        <f t="array" aca="1" ref="R32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32" s="70" t="e" cm="1" vm="1">
        <f t="array" aca="1" ref="S32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  <row r="33" spans="2:19" x14ac:dyDescent="0.25">
      <c r="B33" s="39" t="s">
        <v>60</v>
      </c>
      <c r="C33" s="28" t="e" vm="2">
        <f ca="1">SUM(R27:R35)</f>
        <v>#VALUE!</v>
      </c>
      <c r="E33" s="29"/>
      <c r="F33" s="30">
        <f>IFERROR(VLOOKUP(E33,[1]!Extras[#Data],2,FALSE),0)</f>
        <v>0</v>
      </c>
      <c r="G33" s="32"/>
      <c r="H33" s="30">
        <f t="shared" si="7"/>
        <v>0</v>
      </c>
      <c r="J33" s="42"/>
      <c r="K33" s="55" t="s">
        <v>34</v>
      </c>
      <c r="L33" s="49" cm="1">
        <f t="array" ref="L33">L32*[1]!InformacoesFixas[Valor]</f>
        <v>0</v>
      </c>
      <c r="O33" s="70" t="str">
        <f>IF('Tiragem - 1'!O33=0,"",'Tiragem - 1'!O33)</f>
        <v/>
      </c>
      <c r="P33" s="82" t="str">
        <f>IF(Tabela32[[#This Row],[Clichê]]="","",_xlfn.XLOOKUP(Tabela32[[#This Row],[Clichê]],[1]!HotStamping[ID],[1]!HotStamping[Valor Clichê],"Valor Não Encontrado",0,1))</f>
        <v/>
      </c>
      <c r="Q33" s="70"/>
      <c r="R33" s="82" t="e" cm="1" vm="1">
        <f t="array" aca="1" ref="R33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33" s="70" t="e" cm="1" vm="1">
        <f t="array" aca="1" ref="S33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  <row r="34" spans="2:19" x14ac:dyDescent="0.25">
      <c r="B34" s="39" t="s">
        <v>33</v>
      </c>
      <c r="C34" s="35" t="e" vm="2">
        <f ca="1">SUM(C30:C33)</f>
        <v>#VALUE!</v>
      </c>
      <c r="E34" s="29"/>
      <c r="F34" s="30">
        <f>IFERROR(VLOOKUP(E34,[1]!Extras[#Data],2,FALSE),0)</f>
        <v>0</v>
      </c>
      <c r="G34" s="32"/>
      <c r="H34" s="30">
        <f t="shared" si="7"/>
        <v>0</v>
      </c>
      <c r="J34" s="56"/>
      <c r="K34" s="57" t="s">
        <v>17</v>
      </c>
      <c r="L34" s="41" t="e" vm="2">
        <f ca="1">(L31-C34)-L33</f>
        <v>#VALUE!</v>
      </c>
      <c r="O34" s="70" t="str">
        <f>IF('Tiragem - 1'!O34=0,"",'Tiragem - 1'!O34)</f>
        <v/>
      </c>
      <c r="P34" s="82" t="str">
        <f>IF(Tabela32[[#This Row],[Clichê]]="","",_xlfn.XLOOKUP(Tabela32[[#This Row],[Clichê]],[1]!HotStamping[ID],[1]!HotStamping[Valor Clichê],"Valor Não Encontrado",0,1))</f>
        <v/>
      </c>
      <c r="Q34" s="70"/>
      <c r="R34" s="82" t="e" cm="1" vm="1">
        <f t="array" aca="1" ref="R34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34" s="70" t="e" cm="1" vm="1">
        <f t="array" aca="1" ref="S34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7"/>
        <v>0</v>
      </c>
      <c r="J35" s="42"/>
      <c r="K35" s="55" t="s">
        <v>37</v>
      </c>
      <c r="L35" s="50">
        <f>IFERROR(L31*L28,"")</f>
        <v>0</v>
      </c>
      <c r="O35" s="70" t="str">
        <f>IF('Tiragem - 1'!O35=0,"",'Tiragem - 1'!O35)</f>
        <v/>
      </c>
      <c r="P35" s="82" t="str">
        <f>IF(Tabela32[[#This Row],[Clichê]]="","",_xlfn.XLOOKUP(Tabela32[[#This Row],[Clichê]],[1]!HotStamping[ID],[1]!HotStamping[Valor Clichê],"Valor Não Encontrado",0,1))</f>
        <v/>
      </c>
      <c r="Q35" s="70"/>
      <c r="R35" s="82" t="e" cm="1" vm="1">
        <f t="array" aca="1" ref="R35" ca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>#VALUE!</v>
      </c>
      <c r="S35" s="70" t="e" cm="1" vm="1">
        <f t="array" aca="1" ref="S35" ca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>#VALUE!</v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E10" sqref="E10:I14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8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1" t="s">
        <v>3</v>
      </c>
      <c r="C2" s="101"/>
      <c r="D2" s="101"/>
      <c r="E2" s="7" t="s">
        <v>8</v>
      </c>
      <c r="F2" s="8"/>
      <c r="G2" s="9" t="s">
        <v>10</v>
      </c>
      <c r="H2" s="10" t="s">
        <v>4</v>
      </c>
      <c r="I2" s="67" t="s">
        <v>11</v>
      </c>
      <c r="J2" s="9" t="s">
        <v>7</v>
      </c>
      <c r="K2" s="9" t="s">
        <v>12</v>
      </c>
      <c r="L2" s="10" t="s">
        <v>29</v>
      </c>
      <c r="N2" s="92" t="s">
        <v>22</v>
      </c>
      <c r="O2" s="92"/>
      <c r="P2" s="92"/>
      <c r="Q2" s="92"/>
      <c r="R2" s="92"/>
      <c r="S2" s="92"/>
      <c r="U2" t="s">
        <v>24</v>
      </c>
    </row>
    <row r="3" spans="2:23" x14ac:dyDescent="0.25">
      <c r="B3" s="98" t="str">
        <f>IF('Tiragem - 1'!B3=0,"",'Tiragem - 1'!B3)</f>
        <v/>
      </c>
      <c r="C3" s="99"/>
      <c r="D3" s="100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6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8" t="str">
        <f>IF('Tiragem - 1'!B4=0,"",'Tiragem - 1'!B4)</f>
        <v/>
      </c>
      <c r="C4" s="99"/>
      <c r="D4" s="100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6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8" t="str">
        <f>IF('Tiragem - 1'!B5=0,"",'Tiragem - 1'!B5)</f>
        <v/>
      </c>
      <c r="C5" s="99"/>
      <c r="D5" s="100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6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98" t="str">
        <f>IF('Tiragem - 1'!B6=0,"",'Tiragem - 1'!B6)</f>
        <v/>
      </c>
      <c r="C6" s="99"/>
      <c r="D6" s="100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6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8" t="str">
        <f>IF('Tiragem - 1'!B7=0,"",'Tiragem - 1'!B7)</f>
        <v/>
      </c>
      <c r="C7" s="99"/>
      <c r="D7" s="100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6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7" t="s">
        <v>2</v>
      </c>
      <c r="F9" s="97"/>
      <c r="G9" s="97"/>
      <c r="H9" s="97"/>
      <c r="I9" s="67" t="s">
        <v>9</v>
      </c>
      <c r="K9" s="8" t="s">
        <v>58</v>
      </c>
      <c r="L9" s="8" t="s">
        <v>13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94" t="str">
        <f>IF('Tiragem - 1'!E10=0,"",'Tiragem - 1'!E10)</f>
        <v/>
      </c>
      <c r="F10" s="95"/>
      <c r="G10" s="95"/>
      <c r="H10" s="96"/>
      <c r="I10" s="68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94" t="str">
        <f>IF('Tiragem - 1'!E11=0,"",'Tiragem - 1'!E11)</f>
        <v/>
      </c>
      <c r="F11" s="95"/>
      <c r="G11" s="95"/>
      <c r="H11" s="96"/>
      <c r="I11" s="68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94" t="str">
        <f>IF('Tiragem - 1'!E12=0,"",'Tiragem - 1'!E12)</f>
        <v/>
      </c>
      <c r="F12" s="95"/>
      <c r="G12" s="95"/>
      <c r="H12" s="96"/>
      <c r="I12" s="68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94" t="str">
        <f>IF('Tiragem - 1'!E13=0,"",'Tiragem - 1'!E13)</f>
        <v/>
      </c>
      <c r="F13" s="95"/>
      <c r="G13" s="95"/>
      <c r="H13" s="96"/>
      <c r="I13" s="68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40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94" t="str">
        <f>IF('Tiragem - 1'!E14=0,"",'Tiragem - 1'!E14)</f>
        <v/>
      </c>
      <c r="F14" s="95"/>
      <c r="G14" s="95"/>
      <c r="H14" s="96"/>
      <c r="I14" s="68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28</v>
      </c>
      <c r="F16" s="31" t="s">
        <v>9</v>
      </c>
      <c r="G16" s="31" t="s">
        <v>1</v>
      </c>
      <c r="H16" s="31" t="s">
        <v>29</v>
      </c>
      <c r="J16" s="93" t="s">
        <v>15</v>
      </c>
      <c r="K16" s="93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51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50</v>
      </c>
      <c r="V17" s="16"/>
      <c r="W17" s="65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/>
      <c r="F18" s="30">
        <f>IFERROR(VLOOKUP(E18,[1]!Extras[#Data],2,FALSE),0)</f>
        <v>0</v>
      </c>
      <c r="G18" s="32"/>
      <c r="H18" s="30">
        <f>F18*G18</f>
        <v>0</v>
      </c>
      <c r="J18" s="42"/>
      <c r="K18" s="39" t="s">
        <v>42</v>
      </c>
      <c r="L18" s="40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/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/>
      <c r="F20" s="30">
        <f>IFERROR(VLOOKUP(E20,[1]!Extras[#Data],2,FALSE),0)</f>
        <v>0</v>
      </c>
      <c r="G20" s="32"/>
      <c r="H20" s="30">
        <f t="shared" si="7"/>
        <v>0</v>
      </c>
      <c r="J20" s="42"/>
      <c r="K20" s="51" t="s">
        <v>16</v>
      </c>
      <c r="L20" s="43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/>
      <c r="F21" s="30">
        <f>IFERROR(VLOOKUP(E21,[1]!Extras[#Data],2,FALSE),0)</f>
        <v>0</v>
      </c>
      <c r="G21" s="32"/>
      <c r="H21" s="30">
        <f t="shared" si="7"/>
        <v>0</v>
      </c>
      <c r="J21" s="42"/>
      <c r="K21" s="51" t="s">
        <v>14</v>
      </c>
      <c r="L21" s="44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2"/>
      <c r="K22" s="52" t="s">
        <v>41</v>
      </c>
      <c r="L22" s="43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/>
      <c r="F24" s="30">
        <f>IFERROR(VLOOKUP(E24,[1]!Extras[#Data],2,FALSE),0)</f>
        <v>0</v>
      </c>
      <c r="G24" s="32"/>
      <c r="H24" s="30">
        <f t="shared" si="7"/>
        <v>0</v>
      </c>
      <c r="J24" s="42"/>
      <c r="K24" s="53" t="str">
        <f>L29&amp;"x no cartão de crédito"</f>
        <v>3x no cartão de crédito</v>
      </c>
      <c r="L24" s="45">
        <f>L26/L29</f>
        <v>0</v>
      </c>
      <c r="N24" s="92" t="s">
        <v>23</v>
      </c>
      <c r="O24" s="92"/>
      <c r="P24" s="92"/>
      <c r="Q24" s="92"/>
      <c r="R24" s="92"/>
      <c r="S24" s="92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/>
      <c r="F25" s="30">
        <f>IFERROR(VLOOKUP(E25,[1]!Extras[#Data],2,FALSE),0)</f>
        <v>0</v>
      </c>
      <c r="G25" s="32"/>
      <c r="H25" s="30">
        <f t="shared" si="7"/>
        <v>0</v>
      </c>
      <c r="J25" s="42"/>
      <c r="K25" s="54" t="s">
        <v>39</v>
      </c>
      <c r="L25" s="44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/>
      <c r="F26" s="30">
        <f>IFERROR(VLOOKUP(E26,[1]!Extras[#Data],2,FALSE),0)</f>
        <v>0</v>
      </c>
      <c r="G26" s="32"/>
      <c r="H26" s="30">
        <f t="shared" si="7"/>
        <v>0</v>
      </c>
      <c r="J26" s="42"/>
      <c r="K26" s="55" t="s">
        <v>38</v>
      </c>
      <c r="L26" s="46">
        <f>L22+L35</f>
        <v>0</v>
      </c>
      <c r="O26" s="58" t="s">
        <v>54</v>
      </c>
      <c r="P26" s="58" t="s">
        <v>55</v>
      </c>
      <c r="Q26" s="58" t="s">
        <v>1</v>
      </c>
      <c r="R26" s="58" t="s">
        <v>56</v>
      </c>
      <c r="S26" s="58" t="s">
        <v>57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70" t="str">
        <f>IF('Tiragem - 1'!O27=0,"",'Tiragem - 1'!O27)</f>
        <v/>
      </c>
      <c r="P27" s="82" t="str">
        <f>IF(Tabela33[[#This Row],[Clichê]]="","",_xlfn.XLOOKUP(Tabela33[[#This Row],[Clichê]],[1]!HotStamping[ID],[1]!HotStamping[Valor Clichê],"Valor Não Encontrado",0,1))</f>
        <v/>
      </c>
      <c r="Q27" s="70"/>
      <c r="R27" s="82" t="e" cm="1" vm="1">
        <f t="array" aca="1" ref="R27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27" s="70" t="e" cm="1" vm="1">
        <f t="array" aca="1" ref="S27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/>
      <c r="F28" s="30">
        <f>IFERROR(VLOOKUP(E28,[1]!Extras[#Data],2,FALSE),0)</f>
        <v>0</v>
      </c>
      <c r="G28" s="32"/>
      <c r="H28" s="30">
        <f t="shared" si="7"/>
        <v>0</v>
      </c>
      <c r="J28" s="42"/>
      <c r="K28" s="55" t="s">
        <v>43</v>
      </c>
      <c r="L28" s="47">
        <f>IFERROR(VLOOKUP(L29,N3:S12,5,FALSE),"")</f>
        <v>7.5384615384615397E-2</v>
      </c>
      <c r="O28" s="70" t="str">
        <f>IF('Tiragem - 1'!O28=0,"",'Tiragem - 1'!O28)</f>
        <v/>
      </c>
      <c r="P28" s="82" t="str">
        <f>IF(Tabela33[[#This Row],[Clichê]]="","",_xlfn.XLOOKUP(Tabela33[[#This Row],[Clichê]],[1]!HotStamping[ID],[1]!HotStamping[Valor Clichê],"Valor Não Encontrado",0,1))</f>
        <v/>
      </c>
      <c r="Q28" s="70"/>
      <c r="R28" s="82" t="e" cm="1" vm="1">
        <f t="array" aca="1" ref="R28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28" s="70" t="e" cm="1" vm="1">
        <f t="array" aca="1" ref="S28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2"/>
      <c r="K29" s="55" t="s">
        <v>44</v>
      </c>
      <c r="L29" s="48">
        <v>3</v>
      </c>
      <c r="O29" s="70" t="str">
        <f>IF('Tiragem - 1'!O29=0,"",'Tiragem - 1'!O29)</f>
        <v/>
      </c>
      <c r="P29" s="82" t="str">
        <f>IF(Tabela33[[#This Row],[Clichê]]="","",_xlfn.XLOOKUP(Tabela33[[#This Row],[Clichê]],[1]!HotStamping[ID],[1]!HotStamping[Valor Clichê],"Valor Não Encontrado",0,1))</f>
        <v/>
      </c>
      <c r="Q29" s="70"/>
      <c r="R29" s="82" t="e" cm="1" vm="1">
        <f t="array" aca="1" ref="R29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29" s="70" t="e" cm="1" vm="1">
        <f t="array" aca="1" ref="S29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  <c r="Z29" s="18"/>
    </row>
    <row r="30" spans="2:26" x14ac:dyDescent="0.25">
      <c r="B30" s="39" t="s">
        <v>30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70" t="str">
        <f>IF('Tiragem - 1'!O30=0,"",'Tiragem - 1'!O30)</f>
        <v/>
      </c>
      <c r="P30" s="82" t="str">
        <f>IF(Tabela33[[#This Row],[Clichê]]="","",_xlfn.XLOOKUP(Tabela33[[#This Row],[Clichê]],[1]!HotStamping[ID],[1]!HotStamping[Valor Clichê],"Valor Não Encontrado",0,1))</f>
        <v/>
      </c>
      <c r="Q30" s="70"/>
      <c r="R30" s="82" t="e" cm="1" vm="1">
        <f t="array" aca="1" ref="R30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30" s="70" t="e" cm="1" vm="1">
        <f t="array" aca="1" ref="S30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  <row r="31" spans="2:26" x14ac:dyDescent="0.25">
      <c r="B31" s="39" t="s">
        <v>31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2"/>
      <c r="K31" s="55" t="s">
        <v>36</v>
      </c>
      <c r="L31" s="45">
        <f>L32+L33</f>
        <v>0</v>
      </c>
      <c r="O31" s="70" t="str">
        <f>IF('Tiragem - 1'!O31=0,"",'Tiragem - 1'!O31)</f>
        <v/>
      </c>
      <c r="P31" s="82" t="str">
        <f>IF(Tabela33[[#This Row],[Clichê]]="","",_xlfn.XLOOKUP(Tabela33[[#This Row],[Clichê]],[1]!HotStamping[ID],[1]!HotStamping[Valor Clichê],"Valor Não Encontrado",0,1))</f>
        <v/>
      </c>
      <c r="Q31" s="70"/>
      <c r="R31" s="82" t="e" cm="1" vm="1">
        <f t="array" aca="1" ref="R31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31" s="70" t="e" cm="1" vm="1">
        <f t="array" aca="1" ref="S31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  <row r="32" spans="2:26" x14ac:dyDescent="0.25">
      <c r="B32" s="39" t="s">
        <v>32</v>
      </c>
      <c r="C32" s="28">
        <f>SUM(K10:K14)</f>
        <v>0</v>
      </c>
      <c r="E32" s="29"/>
      <c r="F32" s="30">
        <f>IFERROR(VLOOKUP(E32,[1]!Extras[#Data],2,FALSE),0)</f>
        <v>0</v>
      </c>
      <c r="G32" s="32"/>
      <c r="H32" s="30">
        <f t="shared" si="7"/>
        <v>0</v>
      </c>
      <c r="J32" s="42"/>
      <c r="K32" s="55" t="s">
        <v>35</v>
      </c>
      <c r="L32" s="45">
        <f>(C31+C30)+(C31+C30)*L18+(C32)</f>
        <v>0</v>
      </c>
      <c r="O32" s="70" t="str">
        <f>IF('Tiragem - 1'!O32=0,"",'Tiragem - 1'!O32)</f>
        <v/>
      </c>
      <c r="P32" s="82" t="str">
        <f>IF(Tabela33[[#This Row],[Clichê]]="","",_xlfn.XLOOKUP(Tabela33[[#This Row],[Clichê]],[1]!HotStamping[ID],[1]!HotStamping[Valor Clichê],"Valor Não Encontrado",0,1))</f>
        <v/>
      </c>
      <c r="Q32" s="70"/>
      <c r="R32" s="82" t="e" cm="1" vm="1">
        <f t="array" aca="1" ref="R32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32" s="70" t="e" cm="1" vm="1">
        <f t="array" aca="1" ref="S32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  <row r="33" spans="2:19" x14ac:dyDescent="0.25">
      <c r="B33" s="39" t="s">
        <v>60</v>
      </c>
      <c r="C33" s="28" t="e" vm="2">
        <f ca="1">SUM(R27:R35)</f>
        <v>#VALUE!</v>
      </c>
      <c r="E33" s="29"/>
      <c r="F33" s="30">
        <f>IFERROR(VLOOKUP(E33,[1]!Extras[#Data],2,FALSE),0)</f>
        <v>0</v>
      </c>
      <c r="G33" s="32"/>
      <c r="H33" s="30">
        <f t="shared" si="7"/>
        <v>0</v>
      </c>
      <c r="J33" s="42"/>
      <c r="K33" s="55" t="s">
        <v>34</v>
      </c>
      <c r="L33" s="49" cm="1">
        <f t="array" ref="L33">L32*[1]!InformacoesFixas[Valor]</f>
        <v>0</v>
      </c>
      <c r="O33" s="70" t="str">
        <f>IF('Tiragem - 1'!O33=0,"",'Tiragem - 1'!O33)</f>
        <v/>
      </c>
      <c r="P33" s="82" t="str">
        <f>IF(Tabela33[[#This Row],[Clichê]]="","",_xlfn.XLOOKUP(Tabela33[[#This Row],[Clichê]],[1]!HotStamping[ID],[1]!HotStamping[Valor Clichê],"Valor Não Encontrado",0,1))</f>
        <v/>
      </c>
      <c r="Q33" s="70"/>
      <c r="R33" s="82" t="e" cm="1" vm="1">
        <f t="array" aca="1" ref="R33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33" s="70" t="e" cm="1" vm="1">
        <f t="array" aca="1" ref="S33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  <row r="34" spans="2:19" x14ac:dyDescent="0.25">
      <c r="B34" s="39" t="s">
        <v>33</v>
      </c>
      <c r="C34" s="35" t="e" vm="2">
        <f ca="1">SUM(C30:C33)</f>
        <v>#VALUE!</v>
      </c>
      <c r="E34" s="29"/>
      <c r="F34" s="30">
        <f>IFERROR(VLOOKUP(E34,[1]!Extras[#Data],2,FALSE),0)</f>
        <v>0</v>
      </c>
      <c r="G34" s="32"/>
      <c r="H34" s="30">
        <f t="shared" si="7"/>
        <v>0</v>
      </c>
      <c r="J34" s="56"/>
      <c r="K34" s="57" t="s">
        <v>17</v>
      </c>
      <c r="L34" s="41" t="e" vm="2">
        <f ca="1">(L31-C34)-L33</f>
        <v>#VALUE!</v>
      </c>
      <c r="O34" s="70" t="str">
        <f>IF('Tiragem - 1'!O34=0,"",'Tiragem - 1'!O34)</f>
        <v/>
      </c>
      <c r="P34" s="82" t="str">
        <f>IF(Tabela33[[#This Row],[Clichê]]="","",_xlfn.XLOOKUP(Tabela33[[#This Row],[Clichê]],[1]!HotStamping[ID],[1]!HotStamping[Valor Clichê],"Valor Não Encontrado",0,1))</f>
        <v/>
      </c>
      <c r="Q34" s="70"/>
      <c r="R34" s="82" t="e" cm="1" vm="1">
        <f t="array" aca="1" ref="R34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34" s="70" t="e" cm="1" vm="1">
        <f t="array" aca="1" ref="S34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7"/>
        <v>0</v>
      </c>
      <c r="J35" s="42"/>
      <c r="K35" s="55" t="s">
        <v>37</v>
      </c>
      <c r="L35" s="50">
        <f>IFERROR(L31*L28,"")</f>
        <v>0</v>
      </c>
      <c r="O35" s="70" t="str">
        <f>IF('Tiragem - 1'!O35=0,"",'Tiragem - 1'!O35)</f>
        <v/>
      </c>
      <c r="P35" s="82" t="str">
        <f>IF(Tabela33[[#This Row],[Clichê]]="","",_xlfn.XLOOKUP(Tabela33[[#This Row],[Clichê]],[1]!HotStamping[ID],[1]!HotStamping[Valor Clichê],"Valor Não Encontrado",0,1))</f>
        <v/>
      </c>
      <c r="Q35" s="70"/>
      <c r="R35" s="82" t="e" cm="1" vm="1">
        <f t="array" aca="1" ref="R35" ca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>#VALUE!</v>
      </c>
      <c r="S35" s="70" t="e" cm="1" vm="1">
        <f t="array" aca="1" ref="S35" ca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>#VALUE!</v>
      </c>
    </row>
  </sheetData>
  <mergeCells count="15">
    <mergeCell ref="B7:D7"/>
    <mergeCell ref="B2:D2"/>
    <mergeCell ref="B3:D3"/>
    <mergeCell ref="B4:D4"/>
    <mergeCell ref="B5:D5"/>
    <mergeCell ref="B6:D6"/>
    <mergeCell ref="J16:K16"/>
    <mergeCell ref="N24:S24"/>
    <mergeCell ref="N2:S2"/>
    <mergeCell ref="E9:H9"/>
    <mergeCell ref="E10:H10"/>
    <mergeCell ref="E11:H11"/>
    <mergeCell ref="E12:H12"/>
    <mergeCell ref="E13:H13"/>
    <mergeCell ref="E14:H14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dimension ref="B2:Z35"/>
  <sheetViews>
    <sheetView workbookViewId="0">
      <selection activeCell="E11" sqref="E11:H11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8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1" t="s">
        <v>3</v>
      </c>
      <c r="C2" s="101"/>
      <c r="D2" s="101"/>
      <c r="E2" s="7" t="s">
        <v>8</v>
      </c>
      <c r="F2" s="8"/>
      <c r="G2" s="9" t="s">
        <v>10</v>
      </c>
      <c r="H2" s="10" t="s">
        <v>4</v>
      </c>
      <c r="I2" s="67" t="s">
        <v>11</v>
      </c>
      <c r="J2" s="9" t="s">
        <v>7</v>
      </c>
      <c r="K2" s="9" t="s">
        <v>12</v>
      </c>
      <c r="L2" s="10" t="s">
        <v>29</v>
      </c>
      <c r="N2" s="92" t="s">
        <v>22</v>
      </c>
      <c r="O2" s="92"/>
      <c r="P2" s="92"/>
      <c r="Q2" s="92"/>
      <c r="R2" s="92"/>
      <c r="S2" s="92"/>
      <c r="U2" t="s">
        <v>24</v>
      </c>
    </row>
    <row r="3" spans="2:23" x14ac:dyDescent="0.25">
      <c r="B3" s="98" t="str">
        <f>IF('Tiragem - 1'!B3=0,"",'Tiragem - 1'!B3)</f>
        <v/>
      </c>
      <c r="C3" s="99"/>
      <c r="D3" s="100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6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98" t="str">
        <f>IF('Tiragem - 1'!B4=0,"",'Tiragem - 1'!B4)</f>
        <v/>
      </c>
      <c r="C4" s="99"/>
      <c r="D4" s="100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6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98" t="str">
        <f>IF('Tiragem - 1'!B5=0,"",'Tiragem - 1'!B5)</f>
        <v/>
      </c>
      <c r="C5" s="99"/>
      <c r="D5" s="100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6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98" t="str">
        <f>IF('Tiragem - 1'!B6=0,"",'Tiragem - 1'!B6)</f>
        <v/>
      </c>
      <c r="C6" s="99"/>
      <c r="D6" s="100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6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98" t="str">
        <f>IF('Tiragem - 1'!B7=0,"",'Tiragem - 1'!B7)</f>
        <v/>
      </c>
      <c r="C7" s="99"/>
      <c r="D7" s="100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6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97" t="s">
        <v>2</v>
      </c>
      <c r="F9" s="97"/>
      <c r="G9" s="97"/>
      <c r="H9" s="97"/>
      <c r="I9" s="67" t="s">
        <v>9</v>
      </c>
      <c r="K9" s="8" t="s">
        <v>58</v>
      </c>
      <c r="L9" s="8" t="s">
        <v>13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94" t="str">
        <f>IF('Tiragem - 1'!E10=0,"",'Tiragem - 1'!E10)</f>
        <v/>
      </c>
      <c r="F10" s="95"/>
      <c r="G10" s="95"/>
      <c r="H10" s="96"/>
      <c r="I10" s="68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94" t="str">
        <f>IF('Tiragem - 1'!E11=0,"",'Tiragem - 1'!E11)</f>
        <v/>
      </c>
      <c r="F11" s="95"/>
      <c r="G11" s="95"/>
      <c r="H11" s="96"/>
      <c r="I11" s="68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94" t="str">
        <f>IF('Tiragem - 1'!E12=0,"",'Tiragem - 1'!E12)</f>
        <v/>
      </c>
      <c r="F12" s="95"/>
      <c r="G12" s="95"/>
      <c r="H12" s="96"/>
      <c r="I12" s="68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94" t="str">
        <f>IF('Tiragem - 1'!E13=0,"",'Tiragem - 1'!E13)</f>
        <v/>
      </c>
      <c r="F13" s="95"/>
      <c r="G13" s="95"/>
      <c r="H13" s="96"/>
      <c r="I13" s="68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40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94" t="str">
        <f>IF('Tiragem - 1'!E14=0,"",'Tiragem - 1'!E14)</f>
        <v/>
      </c>
      <c r="F14" s="95"/>
      <c r="G14" s="95"/>
      <c r="H14" s="96"/>
      <c r="I14" s="68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28</v>
      </c>
      <c r="F16" s="31" t="s">
        <v>9</v>
      </c>
      <c r="G16" s="31" t="s">
        <v>1</v>
      </c>
      <c r="H16" s="31" t="s">
        <v>29</v>
      </c>
      <c r="J16" s="93" t="s">
        <v>15</v>
      </c>
      <c r="K16" s="93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51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50</v>
      </c>
      <c r="V17" s="16"/>
      <c r="W17" s="65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/>
      <c r="F18" s="30">
        <f>IFERROR(VLOOKUP(E18,[1]!Extras[#Data],2,FALSE),0)</f>
        <v>0</v>
      </c>
      <c r="G18" s="32"/>
      <c r="H18" s="30">
        <f>F18*G18</f>
        <v>0</v>
      </c>
      <c r="J18" s="42"/>
      <c r="K18" s="39" t="s">
        <v>42</v>
      </c>
      <c r="L18" s="40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/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/>
      <c r="F20" s="30">
        <f>IFERROR(VLOOKUP(E20,[1]!Extras[#Data],2,FALSE),0)</f>
        <v>0</v>
      </c>
      <c r="G20" s="32"/>
      <c r="H20" s="30">
        <f t="shared" si="7"/>
        <v>0</v>
      </c>
      <c r="J20" s="42"/>
      <c r="K20" s="51" t="s">
        <v>16</v>
      </c>
      <c r="L20" s="43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/>
      <c r="F21" s="30">
        <f>IFERROR(VLOOKUP(E21,[1]!Extras[#Data],2,FALSE),0)</f>
        <v>0</v>
      </c>
      <c r="G21" s="32"/>
      <c r="H21" s="30">
        <f t="shared" si="7"/>
        <v>0</v>
      </c>
      <c r="J21" s="42"/>
      <c r="K21" s="51" t="s">
        <v>14</v>
      </c>
      <c r="L21" s="44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2"/>
      <c r="K22" s="52" t="s">
        <v>41</v>
      </c>
      <c r="L22" s="43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/>
      <c r="F24" s="30">
        <f>IFERROR(VLOOKUP(E24,[1]!Extras[#Data],2,FALSE),0)</f>
        <v>0</v>
      </c>
      <c r="G24" s="32"/>
      <c r="H24" s="30">
        <f t="shared" si="7"/>
        <v>0</v>
      </c>
      <c r="J24" s="42"/>
      <c r="K24" s="53" t="str">
        <f>L29&amp;"x no cartão de crédito"</f>
        <v>3x no cartão de crédito</v>
      </c>
      <c r="L24" s="45">
        <f>L26/L29</f>
        <v>0</v>
      </c>
      <c r="N24" s="92" t="s">
        <v>23</v>
      </c>
      <c r="O24" s="92"/>
      <c r="P24" s="92"/>
      <c r="Q24" s="92"/>
      <c r="R24" s="92"/>
      <c r="S24" s="92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/>
      <c r="F25" s="30">
        <f>IFERROR(VLOOKUP(E25,[1]!Extras[#Data],2,FALSE),0)</f>
        <v>0</v>
      </c>
      <c r="G25" s="32"/>
      <c r="H25" s="30">
        <f t="shared" si="7"/>
        <v>0</v>
      </c>
      <c r="J25" s="42"/>
      <c r="K25" s="54" t="s">
        <v>39</v>
      </c>
      <c r="L25" s="44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/>
      <c r="F26" s="30">
        <f>IFERROR(VLOOKUP(E26,[1]!Extras[#Data],2,FALSE),0)</f>
        <v>0</v>
      </c>
      <c r="G26" s="32"/>
      <c r="H26" s="30">
        <f t="shared" si="7"/>
        <v>0</v>
      </c>
      <c r="J26" s="42"/>
      <c r="K26" s="55" t="s">
        <v>38</v>
      </c>
      <c r="L26" s="46">
        <f>L22+L35</f>
        <v>0</v>
      </c>
      <c r="O26" s="58" t="s">
        <v>54</v>
      </c>
      <c r="P26" s="58" t="s">
        <v>55</v>
      </c>
      <c r="Q26" s="58" t="s">
        <v>1</v>
      </c>
      <c r="R26" s="58" t="s">
        <v>56</v>
      </c>
      <c r="S26" s="58" t="s">
        <v>57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70" t="str">
        <f>IF('Tiragem - 1'!O27=0,"",'Tiragem - 1'!O27)</f>
        <v/>
      </c>
      <c r="P27" s="82" t="str">
        <f>IF(Tabela339[[#This Row],[Clichê]]="","",_xlfn.XLOOKUP(Tabela339[[#This Row],[Clichê]],[1]!HotStamping[ID],[1]!HotStamping[Valor Clichê],"Valor Não Encontrado",0,1))</f>
        <v/>
      </c>
      <c r="Q27" s="70"/>
      <c r="R27" s="82" t="e" cm="1" vm="1">
        <f t="array" aca="1" ref="R27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27" s="70" t="e" cm="1" vm="1">
        <f t="array" aca="1" ref="S27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/>
      <c r="F28" s="30">
        <f>IFERROR(VLOOKUP(E28,[1]!Extras[#Data],2,FALSE),0)</f>
        <v>0</v>
      </c>
      <c r="G28" s="32"/>
      <c r="H28" s="30">
        <f t="shared" si="7"/>
        <v>0</v>
      </c>
      <c r="J28" s="42"/>
      <c r="K28" s="55" t="s">
        <v>43</v>
      </c>
      <c r="L28" s="47">
        <f>IFERROR(VLOOKUP(L29,N3:S12,5,FALSE),"")</f>
        <v>7.5384615384615397E-2</v>
      </c>
      <c r="O28" s="70" t="str">
        <f>IF('Tiragem - 1'!O28=0,"",'Tiragem - 1'!O28)</f>
        <v/>
      </c>
      <c r="P28" s="82" t="str">
        <f>IF(Tabela339[[#This Row],[Clichê]]="","",_xlfn.XLOOKUP(Tabela339[[#This Row],[Clichê]],[1]!HotStamping[ID],[1]!HotStamping[Valor Clichê],"Valor Não Encontrado",0,1))</f>
        <v/>
      </c>
      <c r="Q28" s="70"/>
      <c r="R28" s="82" t="e" cm="1" vm="1">
        <f t="array" aca="1" ref="R28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28" s="70" t="e" cm="1" vm="1">
        <f t="array" aca="1" ref="S28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2"/>
      <c r="K29" s="55" t="s">
        <v>44</v>
      </c>
      <c r="L29" s="48">
        <v>3</v>
      </c>
      <c r="O29" s="70" t="str">
        <f>IF('Tiragem - 1'!O29=0,"",'Tiragem - 1'!O29)</f>
        <v/>
      </c>
      <c r="P29" s="82" t="str">
        <f>IF(Tabela339[[#This Row],[Clichê]]="","",_xlfn.XLOOKUP(Tabela339[[#This Row],[Clichê]],[1]!HotStamping[ID],[1]!HotStamping[Valor Clichê],"Valor Não Encontrado",0,1))</f>
        <v/>
      </c>
      <c r="Q29" s="70"/>
      <c r="R29" s="82" t="e" cm="1" vm="1">
        <f t="array" aca="1" ref="R29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29" s="70" t="e" cm="1" vm="1">
        <f t="array" aca="1" ref="S29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  <c r="Z29" s="18"/>
    </row>
    <row r="30" spans="2:26" x14ac:dyDescent="0.25">
      <c r="B30" s="39" t="s">
        <v>30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70" t="str">
        <f>IF('Tiragem - 1'!O30=0,"",'Tiragem - 1'!O30)</f>
        <v/>
      </c>
      <c r="P30" s="82" t="str">
        <f>IF(Tabela339[[#This Row],[Clichê]]="","",_xlfn.XLOOKUP(Tabela339[[#This Row],[Clichê]],[1]!HotStamping[ID],[1]!HotStamping[Valor Clichê],"Valor Não Encontrado",0,1))</f>
        <v/>
      </c>
      <c r="Q30" s="70"/>
      <c r="R30" s="82" t="e" cm="1" vm="1">
        <f t="array" aca="1" ref="R30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30" s="70" t="e" cm="1" vm="1">
        <f t="array" aca="1" ref="S30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  <row r="31" spans="2:26" x14ac:dyDescent="0.25">
      <c r="B31" s="39" t="s">
        <v>31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2"/>
      <c r="K31" s="55" t="s">
        <v>36</v>
      </c>
      <c r="L31" s="45">
        <f>L32+L33</f>
        <v>0</v>
      </c>
      <c r="O31" s="70" t="str">
        <f>IF('Tiragem - 1'!O31=0,"",'Tiragem - 1'!O31)</f>
        <v/>
      </c>
      <c r="P31" s="82" t="str">
        <f>IF(Tabela339[[#This Row],[Clichê]]="","",_xlfn.XLOOKUP(Tabela339[[#This Row],[Clichê]],[1]!HotStamping[ID],[1]!HotStamping[Valor Clichê],"Valor Não Encontrado",0,1))</f>
        <v/>
      </c>
      <c r="Q31" s="70"/>
      <c r="R31" s="82" t="e" cm="1" vm="1">
        <f t="array" aca="1" ref="R31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31" s="70" t="e" cm="1" vm="1">
        <f t="array" aca="1" ref="S31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  <row r="32" spans="2:26" x14ac:dyDescent="0.25">
      <c r="B32" s="39" t="s">
        <v>32</v>
      </c>
      <c r="C32" s="28">
        <f>SUM(K10:K14)</f>
        <v>0</v>
      </c>
      <c r="E32" s="29"/>
      <c r="F32" s="30">
        <f>IFERROR(VLOOKUP(E32,[1]!Extras[#Data],2,FALSE),0)</f>
        <v>0</v>
      </c>
      <c r="G32" s="32"/>
      <c r="H32" s="30">
        <f t="shared" si="7"/>
        <v>0</v>
      </c>
      <c r="J32" s="42"/>
      <c r="K32" s="55" t="s">
        <v>35</v>
      </c>
      <c r="L32" s="45">
        <f>(C31+C30)+(C31+C30)*L18+(C32)</f>
        <v>0</v>
      </c>
      <c r="O32" s="70" t="str">
        <f>IF('Tiragem - 1'!O32=0,"",'Tiragem - 1'!O32)</f>
        <v/>
      </c>
      <c r="P32" s="82" t="str">
        <f>IF(Tabela339[[#This Row],[Clichê]]="","",_xlfn.XLOOKUP(Tabela339[[#This Row],[Clichê]],[1]!HotStamping[ID],[1]!HotStamping[Valor Clichê],"Valor Não Encontrado",0,1))</f>
        <v/>
      </c>
      <c r="Q32" s="70"/>
      <c r="R32" s="82" t="e" cm="1" vm="1">
        <f t="array" aca="1" ref="R32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32" s="70" t="e" cm="1" vm="1">
        <f t="array" aca="1" ref="S32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  <row r="33" spans="2:19" x14ac:dyDescent="0.25">
      <c r="B33" s="39" t="s">
        <v>60</v>
      </c>
      <c r="C33" s="28" t="e" vm="2">
        <f ca="1">SUM(R27:R35)</f>
        <v>#VALUE!</v>
      </c>
      <c r="E33" s="29"/>
      <c r="F33" s="30">
        <f>IFERROR(VLOOKUP(E33,[1]!Extras[#Data],2,FALSE),0)</f>
        <v>0</v>
      </c>
      <c r="G33" s="32"/>
      <c r="H33" s="30">
        <f t="shared" si="7"/>
        <v>0</v>
      </c>
      <c r="J33" s="42"/>
      <c r="K33" s="55" t="s">
        <v>34</v>
      </c>
      <c r="L33" s="49" cm="1">
        <f t="array" ref="L33">L32*[1]!InformacoesFixas[Valor]</f>
        <v>0</v>
      </c>
      <c r="O33" s="70" t="str">
        <f>IF('Tiragem - 1'!O33=0,"",'Tiragem - 1'!O33)</f>
        <v/>
      </c>
      <c r="P33" s="82" t="str">
        <f>IF(Tabela339[[#This Row],[Clichê]]="","",_xlfn.XLOOKUP(Tabela339[[#This Row],[Clichê]],[1]!HotStamping[ID],[1]!HotStamping[Valor Clichê],"Valor Não Encontrado",0,1))</f>
        <v/>
      </c>
      <c r="Q33" s="70"/>
      <c r="R33" s="82" t="e" cm="1" vm="1">
        <f t="array" aca="1" ref="R33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33" s="70" t="e" cm="1" vm="1">
        <f t="array" aca="1" ref="S33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  <row r="34" spans="2:19" x14ac:dyDescent="0.25">
      <c r="B34" s="39" t="s">
        <v>33</v>
      </c>
      <c r="C34" s="35" t="e" vm="2">
        <f ca="1">SUM(C30:C33)</f>
        <v>#VALUE!</v>
      </c>
      <c r="E34" s="29"/>
      <c r="F34" s="30">
        <f>IFERROR(VLOOKUP(E34,[1]!Extras[#Data],2,FALSE),0)</f>
        <v>0</v>
      </c>
      <c r="G34" s="32"/>
      <c r="H34" s="30">
        <f t="shared" si="7"/>
        <v>0</v>
      </c>
      <c r="J34" s="56"/>
      <c r="K34" s="57" t="s">
        <v>17</v>
      </c>
      <c r="L34" s="41" t="e" vm="2">
        <f ca="1">(L31-C34)-L33</f>
        <v>#VALUE!</v>
      </c>
      <c r="O34" s="70" t="str">
        <f>IF('Tiragem - 1'!O34=0,"",'Tiragem - 1'!O34)</f>
        <v/>
      </c>
      <c r="P34" s="82" t="str">
        <f>IF(Tabela339[[#This Row],[Clichê]]="","",_xlfn.XLOOKUP(Tabela339[[#This Row],[Clichê]],[1]!HotStamping[ID],[1]!HotStamping[Valor Clichê],"Valor Não Encontrado",0,1))</f>
        <v/>
      </c>
      <c r="Q34" s="70"/>
      <c r="R34" s="82" t="e" cm="1" vm="1">
        <f t="array" aca="1" ref="R34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34" s="70" t="e" cm="1" vm="1">
        <f t="array" aca="1" ref="S34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7"/>
        <v>0</v>
      </c>
      <c r="J35" s="42"/>
      <c r="K35" s="55" t="s">
        <v>37</v>
      </c>
      <c r="L35" s="50">
        <f>IFERROR(L31*L28,"")</f>
        <v>0</v>
      </c>
      <c r="O35" s="70" t="str">
        <f>IF('Tiragem - 1'!O35=0,"",'Tiragem - 1'!O35)</f>
        <v/>
      </c>
      <c r="P35" s="82" t="str">
        <f>IF(Tabela339[[#This Row],[Clichê]]="","",_xlfn.XLOOKUP(Tabela339[[#This Row],[Clichê]],[1]!HotStamping[ID],[1]!HotStamping[Valor Clichê],"Valor Não Encontrado",0,1))</f>
        <v/>
      </c>
      <c r="Q35" s="70"/>
      <c r="R35" s="82" t="e" cm="1" vm="1">
        <f t="array" aca="1" ref="R35" ca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>#VALUE!</v>
      </c>
      <c r="S35" s="70" t="e" cm="1" vm="1">
        <f t="array" aca="1" ref="S35" ca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>#VALUE!</v>
      </c>
    </row>
  </sheetData>
  <mergeCells count="15">
    <mergeCell ref="B6:D6"/>
    <mergeCell ref="B2:D2"/>
    <mergeCell ref="N2:S2"/>
    <mergeCell ref="B3:D3"/>
    <mergeCell ref="B4:D4"/>
    <mergeCell ref="B5:D5"/>
    <mergeCell ref="E14:H14"/>
    <mergeCell ref="J16:K16"/>
    <mergeCell ref="N24:S24"/>
    <mergeCell ref="B7:D7"/>
    <mergeCell ref="E9:H9"/>
    <mergeCell ref="E10:H10"/>
    <mergeCell ref="E11:H11"/>
    <mergeCell ref="E12:H12"/>
    <mergeCell ref="E13:H13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M35"/>
  <sheetViews>
    <sheetView workbookViewId="0">
      <selection activeCell="M10" sqref="M10"/>
    </sheetView>
  </sheetViews>
  <sheetFormatPr defaultRowHeight="15" x14ac:dyDescent="0.25"/>
  <cols>
    <col min="1" max="2" width="2.85546875" customWidth="1"/>
    <col min="3" max="3" width="12.5703125" bestFit="1" customWidth="1"/>
    <col min="7" max="7" width="2.85546875" customWidth="1"/>
    <col min="8" max="8" width="3.140625" customWidth="1"/>
    <col min="9" max="9" width="60.42578125" customWidth="1"/>
    <col min="10" max="10" width="2.85546875" customWidth="1"/>
    <col min="11" max="11" width="60.42578125" customWidth="1"/>
    <col min="12" max="12" width="2.85546875" customWidth="1"/>
    <col min="13" max="13" width="60.42578125" customWidth="1"/>
    <col min="14" max="14" width="2.85546875" customWidth="1"/>
  </cols>
  <sheetData>
    <row r="2" spans="1:13" s="2" customFormat="1" ht="26.25" x14ac:dyDescent="0.25">
      <c r="B2" s="108" t="s">
        <v>62</v>
      </c>
      <c r="C2" s="109"/>
      <c r="D2" s="109"/>
      <c r="E2" s="109"/>
      <c r="F2" s="109"/>
      <c r="G2" s="110"/>
      <c r="I2" s="72" t="s">
        <v>84</v>
      </c>
      <c r="K2" s="72" t="s">
        <v>85</v>
      </c>
      <c r="M2" s="72" t="s">
        <v>86</v>
      </c>
    </row>
    <row r="3" spans="1:13" ht="15" customHeight="1" x14ac:dyDescent="0.25">
      <c r="A3" s="38"/>
      <c r="B3" s="75"/>
      <c r="G3" s="76"/>
      <c r="I3" s="80"/>
      <c r="K3" s="80"/>
      <c r="M3" s="80"/>
    </row>
    <row r="4" spans="1:13" x14ac:dyDescent="0.25">
      <c r="B4" s="75"/>
      <c r="C4" s="112" t="s">
        <v>63</v>
      </c>
      <c r="D4" s="113"/>
      <c r="E4" s="113"/>
      <c r="F4" s="114"/>
      <c r="G4" s="76"/>
      <c r="I4" s="87" t="str">
        <f>IF(C5="","Nome do Material",C5)</f>
        <v>Nome do Material</v>
      </c>
      <c r="K4" s="87" t="str">
        <f>IF(C5="","Nome do Material",C5)</f>
        <v>Nome do Material</v>
      </c>
      <c r="M4" s="87" t="str">
        <f>IF(C5="","Nome do Material",C5)</f>
        <v>Nome do Material</v>
      </c>
    </row>
    <row r="5" spans="1:13" ht="14.25" customHeight="1" x14ac:dyDescent="0.25">
      <c r="B5" s="75"/>
      <c r="C5" s="104"/>
      <c r="D5" s="111"/>
      <c r="E5" s="111"/>
      <c r="F5" s="105"/>
      <c r="G5" s="76"/>
      <c r="I5" s="88" t="str">
        <f>CONCATENATE("Tamanho: ",C12," x ",E12," x ",D12," cm")</f>
        <v>Tamanho:  x 0 x  cm</v>
      </c>
      <c r="J5" s="38"/>
      <c r="K5" s="88" t="str">
        <f>CONCATENATE("Tamanho: ",$C$12," x ",$D$12," cm")</f>
        <v>Tamanho:  x  cm</v>
      </c>
      <c r="M5" s="88" t="str">
        <f>CONCATENATE("Tamanho: ",$C$12," x ",$D$12," cm")</f>
        <v>Tamanho:  x  cm</v>
      </c>
    </row>
    <row r="6" spans="1:13" x14ac:dyDescent="0.25">
      <c r="B6" s="75"/>
      <c r="G6" s="76"/>
      <c r="I6" s="88" t="str">
        <f>CONCATENATE("Largura: ",$C$12," cm")</f>
        <v>Largura:  cm</v>
      </c>
      <c r="K6" s="88" t="str">
        <f>CONCATENATE("Largura: ",$C$12," cm")</f>
        <v>Largura:  cm</v>
      </c>
      <c r="M6" s="88" t="str">
        <f>CONCATENATE("Largura: ",$C$12," cm")</f>
        <v>Largura:  cm</v>
      </c>
    </row>
    <row r="7" spans="1:13" x14ac:dyDescent="0.25">
      <c r="B7" s="75"/>
      <c r="C7" s="106" t="s">
        <v>59</v>
      </c>
      <c r="D7" s="106"/>
      <c r="E7" s="117"/>
      <c r="F7" s="117"/>
      <c r="G7" s="76"/>
      <c r="I7" s="88" t="str">
        <f>CONCATENATE("Profundidade: ",$E$12," cm")</f>
        <v>Profundidade: 0 cm</v>
      </c>
      <c r="K7" s="88" t="str">
        <f>CONCATENATE("Altura: ",$D$12," cm")</f>
        <v>Altura:  cm</v>
      </c>
      <c r="M7" s="88" t="str">
        <f>CONCATENATE("Altura: ",$D$12," cm")</f>
        <v>Altura:  cm</v>
      </c>
    </row>
    <row r="8" spans="1:13" x14ac:dyDescent="0.25">
      <c r="B8" s="75"/>
      <c r="G8" s="76"/>
      <c r="I8" s="88" t="str">
        <f>CONCATENATE("Altura: ",$D$12," cm")</f>
        <v>Altura:  cm</v>
      </c>
      <c r="K8" s="87" t="str">
        <f>CONCATENATE("Blocos com  ",D18," folhas")</f>
        <v>Blocos com   folhas</v>
      </c>
      <c r="M8" s="87" t="str">
        <f>"Papel: "&amp;$D$9</f>
        <v>Papel: Inválido</v>
      </c>
    </row>
    <row r="9" spans="1:13" x14ac:dyDescent="0.25">
      <c r="B9" s="75"/>
      <c r="C9" s="73" t="s">
        <v>61</v>
      </c>
      <c r="D9" s="107" t="str">
        <f>_xlfn.XLOOKUP('Tiragem - 1'!B3,[1]Papel!$B$4:$B$500,[1]Papel!$C$4:$C$500,"Inválido",0,1)</f>
        <v>Inválido</v>
      </c>
      <c r="E9" s="107"/>
      <c r="F9" s="107"/>
      <c r="G9" s="76"/>
      <c r="I9" s="87" t="s">
        <v>27</v>
      </c>
      <c r="K9" s="87" t="str">
        <f>IF(D20="","Selecione a quantidade de vias",IF(D20=1,D20&amp;" - Via",D20&amp;" - Vias"))</f>
        <v>Selecione a quantidade de vias</v>
      </c>
      <c r="M9" s="87" t="str">
        <f>CONCATENATE("Impressão: ",$D$14," - ",(_xlfn.XLOOKUP($D$14,Cores[Cores],Cores[Descrição],"Inválido",0,1)),IF(D14="1x0",IF(D16="",$E$14&amp;")",$E$14&amp;") - "&amp;D16),IF(D16="",""," - "&amp;D16)))</f>
        <v xml:space="preserve">Impressão:  - </v>
      </c>
    </row>
    <row r="10" spans="1:13" x14ac:dyDescent="0.25">
      <c r="B10" s="75"/>
      <c r="G10" s="76"/>
      <c r="I10" s="87" t="str">
        <f>"Papel: "&amp;$D$9</f>
        <v>Papel: Inválido</v>
      </c>
      <c r="K10" s="87" t="str">
        <f>"Papel: "&amp;$D$9</f>
        <v>Papel: Inválido</v>
      </c>
      <c r="M10" s="80"/>
    </row>
    <row r="11" spans="1:13" x14ac:dyDescent="0.25">
      <c r="B11" s="75"/>
      <c r="C11" s="73" t="s">
        <v>68</v>
      </c>
      <c r="D11" s="73" t="s">
        <v>69</v>
      </c>
      <c r="E11" s="115" t="str">
        <f>IF(E7="Sacola","Profundidade","Não se aplica")</f>
        <v>Não se aplica</v>
      </c>
      <c r="F11" s="116"/>
      <c r="G11" s="76"/>
      <c r="I11" s="87" t="str">
        <f>CONCATENATE("Impressão: ",$D$14," - ",(_xlfn.XLOOKUP($D$14,Cores[Cores],Cores[Descrição],"Inválido",0,1)),IF(D14="1x0",IF(D16="",$E$14&amp;")",$E$14&amp;") - "&amp;D16),IF(D16="",""," - "&amp;D16)))</f>
        <v xml:space="preserve">Impressão:  - </v>
      </c>
      <c r="K11" s="87" t="str">
        <f>CONCATENATE("Impressão: ",$D$14," - ",(_xlfn.XLOOKUP($D$14,Cores[Cores],Cores[Descrição],"Inválido",0,1)),IF(D14="1x0",IF(D16="",$E$14&amp;")",$E$14&amp;") - "&amp;D16),IF(D16="",""," - "&amp;D16)))</f>
        <v xml:space="preserve">Impressão:  - </v>
      </c>
      <c r="M11" s="80"/>
    </row>
    <row r="12" spans="1:13" x14ac:dyDescent="0.25">
      <c r="B12" s="75"/>
      <c r="C12" s="84"/>
      <c r="D12" s="85"/>
      <c r="E12" s="102">
        <v>0</v>
      </c>
      <c r="F12" s="103"/>
      <c r="G12" s="76"/>
      <c r="I12" s="89" t="s">
        <v>89</v>
      </c>
      <c r="K12" s="89" t="s">
        <v>89</v>
      </c>
      <c r="M12" s="89" t="s">
        <v>89</v>
      </c>
    </row>
    <row r="13" spans="1:13" x14ac:dyDescent="0.25">
      <c r="B13" s="75"/>
      <c r="G13" s="76"/>
      <c r="I13" s="87" t="s">
        <v>24</v>
      </c>
      <c r="K13" s="87" t="s">
        <v>24</v>
      </c>
      <c r="M13" s="87" t="s">
        <v>24</v>
      </c>
    </row>
    <row r="14" spans="1:13" x14ac:dyDescent="0.25">
      <c r="B14" s="75"/>
      <c r="C14" s="73" t="s">
        <v>70</v>
      </c>
      <c r="D14" s="83"/>
      <c r="E14" s="102" t="s">
        <v>88</v>
      </c>
      <c r="F14" s="103"/>
      <c r="G14" s="76"/>
      <c r="I14" s="87" t="s">
        <v>25</v>
      </c>
      <c r="K14" s="87" t="s">
        <v>25</v>
      </c>
      <c r="M14" s="87" t="s">
        <v>25</v>
      </c>
    </row>
    <row r="15" spans="1:13" x14ac:dyDescent="0.25">
      <c r="B15" s="75"/>
      <c r="G15" s="76"/>
      <c r="I15" s="80"/>
      <c r="K15" s="80"/>
      <c r="M15" s="80"/>
    </row>
    <row r="16" spans="1:13" x14ac:dyDescent="0.25">
      <c r="B16" s="75"/>
      <c r="C16" s="71" t="str">
        <f>IF(E7="Sacola","Lados","Não se aplica")</f>
        <v>Não se aplica</v>
      </c>
      <c r="D16" s="104"/>
      <c r="E16" s="105"/>
      <c r="G16" s="76"/>
      <c r="I16" s="87" t="str">
        <f>'Tiragem - 1'!$U$5</f>
        <v>*250 unidades / R$ 0,00 a unidade*</v>
      </c>
      <c r="K16" s="87" t="str">
        <f>IFERROR('Tiragem - 1'!$L$16&amp;" unidades / "&amp;'Tiragem - 1'!$L$16/Especificações!$D$18&amp;" Blocos / "&amp;TEXT('Tiragem - 1'!$L$22/Especificações!$D$18,"R$ 0,00")&amp;" a unidade","Coloque a quantidade de folhas por bloco")</f>
        <v>Coloque a quantidade de folhas por bloco</v>
      </c>
      <c r="M16" s="87" t="str">
        <f>'Tiragem - 1'!$U$5</f>
        <v>*250 unidades / R$ 0,00 a unidade*</v>
      </c>
    </row>
    <row r="17" spans="2:13" x14ac:dyDescent="0.25">
      <c r="B17" s="75"/>
      <c r="G17" s="76"/>
      <c r="I17" s="87" t="str">
        <f>'Tiragem - 1'!$U$6</f>
        <v>2x R$ 0,00 / Total: R$ 0,00</v>
      </c>
      <c r="K17" s="87" t="str">
        <f>'Tiragem - 1'!$U$6</f>
        <v>2x R$ 0,00 / Total: R$ 0,00</v>
      </c>
      <c r="M17" s="87" t="str">
        <f>'Tiragem - 1'!$U$6</f>
        <v>2x R$ 0,00 / Total: R$ 0,00</v>
      </c>
    </row>
    <row r="18" spans="2:13" x14ac:dyDescent="0.25">
      <c r="B18" s="75"/>
      <c r="C18" s="42" t="str">
        <f>IF(E7="Bloco","Qtd. Folhas: ","Não se aplica")</f>
        <v>Não se aplica</v>
      </c>
      <c r="D18" s="86"/>
      <c r="G18" s="76"/>
      <c r="I18" s="87"/>
      <c r="K18" s="87"/>
      <c r="M18" s="87"/>
    </row>
    <row r="19" spans="2:13" x14ac:dyDescent="0.25">
      <c r="B19" s="75"/>
      <c r="G19" s="76"/>
      <c r="I19" s="87" t="str">
        <f>'Tiragem - 2'!$U$5</f>
        <v>*500 unidades / R$ 0,00 a unidade*</v>
      </c>
      <c r="K19" s="87" t="str">
        <f>IFERROR('Tiragem - 2'!$L$16&amp;" unidades / "&amp;'Tiragem - 2'!$L$16/Especificações!$D$18&amp;" Blocos / "&amp;TEXT('Tiragem - 2'!$L$22/Especificações!$D$18,"R$ 0,00")&amp;" a unidade","Coloque a quantidade de folhas por bloco")</f>
        <v>Coloque a quantidade de folhas por bloco</v>
      </c>
      <c r="M19" s="87" t="str">
        <f>'Tiragem - 2'!$U$5</f>
        <v>*500 unidades / R$ 0,00 a unidade*</v>
      </c>
    </row>
    <row r="20" spans="2:13" x14ac:dyDescent="0.25">
      <c r="B20" s="75"/>
      <c r="C20" s="69" t="str">
        <f>IF(E7="Bloco","Qtd. Vias: ","Não se aplica")</f>
        <v>Não se aplica</v>
      </c>
      <c r="D20" s="86"/>
      <c r="G20" s="76"/>
      <c r="I20" s="87" t="str">
        <f>'Tiragem - 2'!$U$6</f>
        <v>2x R$ 0,00 / Total: R$ 0,00</v>
      </c>
      <c r="K20" s="87" t="str">
        <f>'Tiragem - 2'!$U$6</f>
        <v>2x R$ 0,00 / Total: R$ 0,00</v>
      </c>
      <c r="M20" s="87" t="str">
        <f>'Tiragem - 2'!$U$6</f>
        <v>2x R$ 0,00 / Total: R$ 0,00</v>
      </c>
    </row>
    <row r="21" spans="2:13" x14ac:dyDescent="0.25">
      <c r="B21" s="77"/>
      <c r="C21" s="78"/>
      <c r="D21" s="78"/>
      <c r="E21" s="78"/>
      <c r="F21" s="78"/>
      <c r="G21" s="79"/>
      <c r="I21" s="87"/>
      <c r="K21" s="87"/>
      <c r="M21" s="87"/>
    </row>
    <row r="22" spans="2:13" x14ac:dyDescent="0.25">
      <c r="I22" s="87" t="str">
        <f>'Tiragem - 3'!$U$5</f>
        <v>*1000 unidades / R$ 0,00 a unidade*</v>
      </c>
      <c r="K22" s="87" t="str">
        <f>IFERROR('Tiragem - 3'!$L$16&amp;" unidades / "&amp;'Tiragem - 3'!$L$16/Especificações!$D$18&amp;" Blocos / "&amp;TEXT('Tiragem - 3'!$L$22/Especificações!$D$18,"R$ 0,00")&amp;" a unidade","Coloque a quantidade de folhas por bloco")</f>
        <v>Coloque a quantidade de folhas por bloco</v>
      </c>
      <c r="M22" s="87" t="str">
        <f>'Tiragem - 3'!$U$5</f>
        <v>*1000 unidades / R$ 0,00 a unidade*</v>
      </c>
    </row>
    <row r="23" spans="2:13" x14ac:dyDescent="0.25">
      <c r="I23" s="87" t="str">
        <f>'Tiragem - 3'!$U$6</f>
        <v>2x R$ 0,00 / Total: R$ 0,00</v>
      </c>
      <c r="K23" s="87" t="str">
        <f>'Tiragem - 2'!$U$6</f>
        <v>2x R$ 0,00 / Total: R$ 0,00</v>
      </c>
      <c r="M23" s="87" t="str">
        <f>'Tiragem - 3'!$U$6</f>
        <v>2x R$ 0,00 / Total: R$ 0,00</v>
      </c>
    </row>
    <row r="24" spans="2:13" x14ac:dyDescent="0.25">
      <c r="I24" s="89" t="s">
        <v>89</v>
      </c>
      <c r="K24" s="89" t="s">
        <v>89</v>
      </c>
      <c r="M24" s="89" t="s">
        <v>89</v>
      </c>
    </row>
    <row r="25" spans="2:13" x14ac:dyDescent="0.25">
      <c r="I25" s="87" t="s">
        <v>47</v>
      </c>
      <c r="K25" s="87" t="s">
        <v>47</v>
      </c>
      <c r="M25" s="87" t="s">
        <v>47</v>
      </c>
    </row>
    <row r="26" spans="2:13" x14ac:dyDescent="0.25">
      <c r="I26" s="87"/>
      <c r="K26" s="87"/>
      <c r="M26" s="87"/>
    </row>
    <row r="27" spans="2:13" x14ac:dyDescent="0.25">
      <c r="I27" s="87" t="str">
        <f>'Tiragem - 1'!$U$12</f>
        <v>*250 unidades / R$ 0,00 a unidade*</v>
      </c>
      <c r="K27" s="87" t="str">
        <f>IFERROR('Tiragem - 1'!$L$16&amp;" unidades / "&amp;'Tiragem - 1'!$L$16/Especificações!$D$18&amp;" Blocos / "&amp;TEXT('Tiragem - 1'!$L$26/Especificações!$D$18,"R$ 0,00")&amp;" a unidade","Coloque a quantidade de folhas por bloco")</f>
        <v>Coloque a quantidade de folhas por bloco</v>
      </c>
      <c r="M27" s="87" t="str">
        <f>'Tiragem - 1'!$U$12</f>
        <v>*250 unidades / R$ 0,00 a unidade*</v>
      </c>
    </row>
    <row r="28" spans="2:13" x14ac:dyDescent="0.25">
      <c r="I28" s="87" t="str">
        <f>'Tiragem - 1'!$U$13</f>
        <v>3x R$ 0,00 / Total: R$ 0,00</v>
      </c>
      <c r="K28" s="87" t="str">
        <f>'Tiragem - 1'!$U$13</f>
        <v>3x R$ 0,00 / Total: R$ 0,00</v>
      </c>
      <c r="M28" s="87" t="str">
        <f>'Tiragem - 1'!$U$13</f>
        <v>3x R$ 0,00 / Total: R$ 0,00</v>
      </c>
    </row>
    <row r="29" spans="2:13" x14ac:dyDescent="0.25">
      <c r="I29" s="87"/>
      <c r="K29" s="87"/>
      <c r="M29" s="87"/>
    </row>
    <row r="30" spans="2:13" x14ac:dyDescent="0.25">
      <c r="I30" s="87" t="str">
        <f>'Tiragem - 2'!$U$12</f>
        <v>*500 unidades / R$ 0,00 a unidade*</v>
      </c>
      <c r="K30" s="87" t="str">
        <f>IFERROR('Tiragem - 2'!$L$16&amp;" unidades / "&amp;'Tiragem - 2'!$L$16/Especificações!$D$18&amp;" Blocos / "&amp;TEXT('Tiragem - 2'!$L$26/Especificações!$D$18,"R$ 0,00")&amp;" a unidade","Coloque a quantidade de folhas por bloco")</f>
        <v>Coloque a quantidade de folhas por bloco</v>
      </c>
      <c r="M30" s="87" t="str">
        <f>'Tiragem - 2'!$U$12</f>
        <v>*500 unidades / R$ 0,00 a unidade*</v>
      </c>
    </row>
    <row r="31" spans="2:13" x14ac:dyDescent="0.25">
      <c r="I31" s="87" t="str">
        <f>'Tiragem - 2'!$U$13</f>
        <v>3x R$ 0,00 / Total: R$ 0,00</v>
      </c>
      <c r="K31" s="87" t="str">
        <f>'Tiragem - 2'!$U$13</f>
        <v>3x R$ 0,00 / Total: R$ 0,00</v>
      </c>
      <c r="M31" s="87" t="str">
        <f>'Tiragem - 2'!$U$13</f>
        <v>3x R$ 0,00 / Total: R$ 0,00</v>
      </c>
    </row>
    <row r="32" spans="2:13" x14ac:dyDescent="0.25">
      <c r="I32" s="87"/>
      <c r="K32" s="87"/>
      <c r="M32" s="87"/>
    </row>
    <row r="33" spans="9:13" x14ac:dyDescent="0.25">
      <c r="I33" s="87" t="str">
        <f>'Tiragem - 3'!$U$12</f>
        <v>*1000 unidades / R$ 0,00 a unidade*</v>
      </c>
      <c r="K33" s="87" t="str">
        <f>IFERROR('Tiragem - 3'!$L$16&amp;" unidades / "&amp;'Tiragem - 3'!$L$16/Especificações!$D$18&amp;" Blocos / "&amp;TEXT('Tiragem - 3'!$L$26/Especificações!$D$18,"R$ 0,00")&amp;" a unidade","Coloque a quantidade de folhas por bloco")</f>
        <v>Coloque a quantidade de folhas por bloco</v>
      </c>
      <c r="M33" s="87" t="str">
        <f>'Tiragem - 3'!$U$12</f>
        <v>*1000 unidades / R$ 0,00 a unidade*</v>
      </c>
    </row>
    <row r="34" spans="9:13" x14ac:dyDescent="0.25">
      <c r="I34" s="87" t="str">
        <f>'Tiragem - 3'!$U$13</f>
        <v>3x R$ 0,00 / Total: R$ 0,00</v>
      </c>
      <c r="K34" s="87" t="str">
        <f>'Tiragem - 3'!$U$13</f>
        <v>3x R$ 0,00 / Total: R$ 0,00</v>
      </c>
      <c r="M34" s="87" t="str">
        <f>'Tiragem - 3'!$U$13</f>
        <v>3x R$ 0,00 / Total: R$ 0,00</v>
      </c>
    </row>
    <row r="35" spans="9:13" x14ac:dyDescent="0.25">
      <c r="I35" s="81"/>
      <c r="K35" s="81"/>
      <c r="M35" s="81"/>
    </row>
  </sheetData>
  <mergeCells count="10">
    <mergeCell ref="E14:F14"/>
    <mergeCell ref="D16:E16"/>
    <mergeCell ref="C7:D7"/>
    <mergeCell ref="D9:F9"/>
    <mergeCell ref="B2:G2"/>
    <mergeCell ref="C5:F5"/>
    <mergeCell ref="C4:F4"/>
    <mergeCell ref="E11:F11"/>
    <mergeCell ref="E12:F12"/>
    <mergeCell ref="E7:F7"/>
  </mergeCells>
  <conditionalFormatting sqref="I6">
    <cfRule type="containsText" dxfId="24" priority="10" operator="containsText" text="Largura: ">
      <formula>NOT(ISERROR(SEARCH("Largura: ",I6)))</formula>
    </cfRule>
  </conditionalFormatting>
  <conditionalFormatting sqref="T2:XFD3 A1:XFD1 A2:B2 H2 A46:XFD1048576 A3:H3 A5:C5 A4:B4 G4:H5 A37:L45 N33:XFD45 O4:XFD32 J5:J36 L5:L36 N5:N35 A6:H13 A15:H36 A14:E14 G14:H14 I4:I35 K4:K35 M4:M35">
    <cfRule type="containsText" dxfId="23" priority="8" operator="containsText" text="Inválido">
      <formula>NOT(ISERROR(SEARCH("Inválido",A1)))</formula>
    </cfRule>
    <cfRule type="containsText" dxfId="22" priority="9" operator="containsText" text="Não se aplica">
      <formula>NOT(ISERROR(SEARCH("Não se aplica",A1)))</formula>
    </cfRule>
  </conditionalFormatting>
  <conditionalFormatting sqref="M6">
    <cfRule type="containsText" dxfId="21" priority="7" operator="containsText" text="Largura: ">
      <formula>NOT(ISERROR(SEARCH("Largura: ",M6)))</formula>
    </cfRule>
  </conditionalFormatting>
  <conditionalFormatting sqref="I2">
    <cfRule type="containsText" dxfId="20" priority="5" operator="containsText" text="Inválido">
      <formula>NOT(ISERROR(SEARCH("Inválido",I2)))</formula>
    </cfRule>
    <cfRule type="containsText" dxfId="19" priority="6" operator="containsText" text="Não se aplica">
      <formula>NOT(ISERROR(SEARCH("Não se aplica",I2)))</formula>
    </cfRule>
  </conditionalFormatting>
  <conditionalFormatting sqref="K2">
    <cfRule type="containsText" dxfId="18" priority="3" operator="containsText" text="Inválido">
      <formula>NOT(ISERROR(SEARCH("Inválido",K2)))</formula>
    </cfRule>
    <cfRule type="containsText" dxfId="17" priority="4" operator="containsText" text="Não se aplica">
      <formula>NOT(ISERROR(SEARCH("Não se aplica",K2)))</formula>
    </cfRule>
  </conditionalFormatting>
  <conditionalFormatting sqref="M2">
    <cfRule type="containsText" dxfId="16" priority="1" operator="containsText" text="Inválido">
      <formula>NOT(ISERROR(SEARCH("Inválido",M2)))</formula>
    </cfRule>
    <cfRule type="containsText" dxfId="15" priority="2" operator="containsText" text="Não se aplica">
      <formula>NOT(ISERROR(SEARCH("Não se aplica",M2)))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ignoredErrors>
    <ignoredError sqref="D9 I4:I10 K4:M8 K10:M10 K34:L34 L11 I13:I23 K13:L23 L12 I25:I34 K25:L33 L24 M16:M34 K9:L9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660A60F-988E-47FE-B4E3-075F7D0158F8}">
          <x14:formula1>
            <xm:f>Dados!$D$4:$D$7</xm:f>
          </x14:formula1>
          <xm:sqref>D14</xm:sqref>
        </x14:dataValidation>
        <x14:dataValidation type="list" allowBlank="1" showInputMessage="1" showErrorMessage="1" xr:uid="{3968B492-0895-4FC7-B5E9-F15B9BB0D857}">
          <x14:formula1>
            <xm:f>Dados!$I$4:$I$6</xm:f>
          </x14:formula1>
          <xm:sqref>D16:E16</xm:sqref>
        </x14:dataValidation>
        <x14:dataValidation type="list" allowBlank="1" showErrorMessage="1" promptTitle="Selecione a Cor" prompt="Selecione a Cor" xr:uid="{77A64A19-8A91-4E9C-8078-D326C503FB86}">
          <x14:formula1>
            <xm:f>IF($D$14="1x0",Dados!$G$4:$G$6,Dados!$K$4)</xm:f>
          </x14:formula1>
          <xm:sqref>E14:F14</xm:sqref>
        </x14:dataValidation>
        <x14:dataValidation type="list" allowBlank="1" showInputMessage="1" showErrorMessage="1" xr:uid="{039D2B1E-3790-4B4B-AC8A-E66F71370C6F}">
          <x14:formula1>
            <xm:f>Dados!$B$4:$B$50</xm:f>
          </x14:formula1>
          <xm:sqref>E7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M43"/>
  <sheetViews>
    <sheetView topLeftCell="A17" zoomScale="160" zoomScaleNormal="160" workbookViewId="0">
      <selection activeCell="B35" sqref="B35:C35"/>
    </sheetView>
  </sheetViews>
  <sheetFormatPr defaultColWidth="10.28515625" defaultRowHeight="15" x14ac:dyDescent="0.25"/>
  <cols>
    <col min="1" max="1" width="7" style="59" customWidth="1"/>
    <col min="2" max="2" width="9.85546875" style="59" customWidth="1"/>
    <col min="3" max="3" width="10" style="59" customWidth="1"/>
    <col min="4" max="4" width="11.42578125" customWidth="1"/>
    <col min="5" max="5" width="9.140625" style="59" customWidth="1"/>
    <col min="6" max="6" width="8.5703125" style="59" customWidth="1"/>
    <col min="7" max="7" width="13.28515625" style="59" customWidth="1"/>
    <col min="8" max="8" width="10.28515625" style="59"/>
    <col min="9" max="9" width="11" style="59" customWidth="1"/>
    <col min="10" max="16384" width="10.28515625" style="59"/>
  </cols>
  <sheetData>
    <row r="1" spans="2:13" ht="50.25" customHeight="1" x14ac:dyDescent="0.25"/>
    <row r="2" spans="2:13" s="63" customFormat="1" ht="23.25" x14ac:dyDescent="0.25"/>
    <row r="3" spans="2:13" s="60" customFormat="1" x14ac:dyDescent="0.25">
      <c r="B3" s="124" t="s">
        <v>48</v>
      </c>
      <c r="C3" s="124"/>
      <c r="D3" s="122">
        <f ca="1">TODAY()</f>
        <v>45030</v>
      </c>
      <c r="E3" s="122"/>
      <c r="F3" s="122"/>
      <c r="K3" s="122"/>
      <c r="L3" s="122"/>
      <c r="M3" s="122"/>
    </row>
    <row r="4" spans="2:13" s="60" customFormat="1" x14ac:dyDescent="0.25">
      <c r="B4"/>
      <c r="C4" s="62"/>
      <c r="D4" s="62"/>
    </row>
    <row r="5" spans="2:13" x14ac:dyDescent="0.25">
      <c r="B5"/>
      <c r="C5" s="62"/>
      <c r="D5" s="62"/>
    </row>
    <row r="6" spans="2:13" x14ac:dyDescent="0.25">
      <c r="B6"/>
      <c r="C6" s="61"/>
      <c r="D6" s="62"/>
    </row>
    <row r="7" spans="2:13" x14ac:dyDescent="0.25">
      <c r="B7"/>
      <c r="C7" s="61"/>
      <c r="D7" s="62"/>
    </row>
    <row r="8" spans="2:13" ht="6" customHeight="1" x14ac:dyDescent="0.25"/>
    <row r="9" spans="2:13" ht="15.75" customHeight="1" x14ac:dyDescent="0.25">
      <c r="B9" s="125" t="str">
        <f>IF(Especificações!C5=0,"Nome do Material",Especificações!C5)</f>
        <v>Nome do Material</v>
      </c>
      <c r="C9" s="125"/>
      <c r="D9" s="125"/>
      <c r="E9" s="125"/>
      <c r="F9" s="125"/>
      <c r="G9" s="125"/>
      <c r="H9" s="125"/>
      <c r="I9" s="125"/>
    </row>
    <row r="10" spans="2:13" ht="15" customHeight="1" x14ac:dyDescent="0.25">
      <c r="B10" s="125"/>
      <c r="C10" s="125"/>
      <c r="D10" s="125"/>
      <c r="E10" s="125"/>
      <c r="F10" s="125"/>
      <c r="G10" s="125"/>
      <c r="H10" s="125"/>
      <c r="I10" s="125"/>
    </row>
    <row r="11" spans="2:13" ht="6" customHeight="1" x14ac:dyDescent="0.25">
      <c r="E11"/>
      <c r="F11"/>
      <c r="G11"/>
    </row>
    <row r="12" spans="2:13" x14ac:dyDescent="0.25">
      <c r="B12" t="str">
        <f>IF(Especificações!$E$7="Sacola",Especificações!I5,IF(Especificações!$E$7="Bloco",Especificações!K5,Especificações!M5))</f>
        <v>Tamanho:  x  cm</v>
      </c>
      <c r="E12"/>
      <c r="F12"/>
      <c r="G12"/>
    </row>
    <row r="13" spans="2:13" x14ac:dyDescent="0.25">
      <c r="B13" t="str">
        <f>IF(Especificações!$E$7="Sacola",Especificações!I6,IF(Especificações!$E$7="Bloco",Especificações!K6,Especificações!M6))</f>
        <v>Largura:  cm</v>
      </c>
      <c r="E13"/>
      <c r="F13"/>
      <c r="G13"/>
    </row>
    <row r="14" spans="2:13" x14ac:dyDescent="0.25">
      <c r="B14" t="str">
        <f>IF(Especificações!$E$7="Sacola",Especificações!I7,IF(Especificações!$E$7="Bloco",Especificações!K7,Especificações!M7))</f>
        <v>Altura:  cm</v>
      </c>
      <c r="E14"/>
      <c r="F14"/>
      <c r="G14"/>
    </row>
    <row r="15" spans="2:13" x14ac:dyDescent="0.25">
      <c r="B15" t="str">
        <f>IF(Especificações!$E$7="Sacola",Especificações!I8,IF(Especificações!$E$7="Bloco",Especificações!K8,Especificações!M8))</f>
        <v>Papel: Inválido</v>
      </c>
      <c r="E15"/>
      <c r="F15"/>
      <c r="G15"/>
    </row>
    <row r="16" spans="2:13" x14ac:dyDescent="0.25">
      <c r="B16" t="str">
        <f>IF(Especificações!$E$7="Sacola",Especificações!I9,IF(Especificações!$E$7="Bloco",Especificações!K9,Especificações!M9))</f>
        <v xml:space="preserve">Impressão:  - </v>
      </c>
      <c r="E16"/>
      <c r="F16"/>
      <c r="G16"/>
    </row>
    <row r="17" spans="2:9" x14ac:dyDescent="0.25">
      <c r="B17">
        <f>IF(Especificações!$E$7="Sacola",Especificações!I10,IF(Especificações!$E$7="Bloco",Especificações!K10,Especificações!M10))</f>
        <v>0</v>
      </c>
      <c r="E17"/>
      <c r="F17"/>
      <c r="G17"/>
    </row>
    <row r="18" spans="2:9" x14ac:dyDescent="0.25">
      <c r="B18">
        <f>IF(Especificações!$E$7="Sacola",Especificações!I11,IF(Especificações!$E$7="Bloco",Especificações!K11,Especificações!M11))</f>
        <v>0</v>
      </c>
      <c r="E18"/>
      <c r="F18"/>
      <c r="G18"/>
    </row>
    <row r="19" spans="2:9" x14ac:dyDescent="0.25">
      <c r="E19"/>
      <c r="F19"/>
      <c r="G19"/>
    </row>
    <row r="20" spans="2:9" x14ac:dyDescent="0.25">
      <c r="B20" s="123" t="str">
        <f>Especificações!$I$13</f>
        <v>-&gt; Valores com desconto para pagamento via PIX ou Transferência</v>
      </c>
      <c r="C20" s="123"/>
      <c r="D20" s="123"/>
      <c r="E20" s="123"/>
      <c r="F20" s="123"/>
      <c r="G20" s="123"/>
      <c r="H20" s="123"/>
      <c r="I20" s="123"/>
    </row>
    <row r="21" spans="2:9" x14ac:dyDescent="0.25">
      <c r="B21" s="123" t="str">
        <f>Especificações!$I$14</f>
        <v>(50% Entrada e 50% Entrega)</v>
      </c>
      <c r="C21" s="123"/>
      <c r="D21" s="123"/>
      <c r="E21" s="123"/>
      <c r="F21" s="123"/>
      <c r="G21" s="123"/>
      <c r="H21" s="123"/>
      <c r="I21" s="123"/>
    </row>
    <row r="22" spans="2:9" x14ac:dyDescent="0.25">
      <c r="E22"/>
      <c r="F22"/>
      <c r="G22"/>
    </row>
    <row r="23" spans="2:9" x14ac:dyDescent="0.25">
      <c r="B23" s="107" t="s">
        <v>1</v>
      </c>
      <c r="C23" s="107"/>
      <c r="D23" s="107" t="s">
        <v>9</v>
      </c>
      <c r="E23" s="107"/>
      <c r="F23" s="107" t="s">
        <v>18</v>
      </c>
      <c r="G23" s="107"/>
      <c r="H23" s="107" t="s">
        <v>20</v>
      </c>
      <c r="I23" s="107"/>
    </row>
    <row r="24" spans="2:9" x14ac:dyDescent="0.25">
      <c r="B24" s="107">
        <f>'Tiragem - 1'!$L$16</f>
        <v>250</v>
      </c>
      <c r="C24" s="107"/>
      <c r="D24" s="118">
        <f>'Tiragem - 1'!$L$22</f>
        <v>0</v>
      </c>
      <c r="E24" s="118"/>
      <c r="F24" s="39" t="s">
        <v>49</v>
      </c>
      <c r="G24" s="90">
        <f>'Tiragem - 1'!$L$20</f>
        <v>0</v>
      </c>
      <c r="H24" s="118">
        <f>'Tiragem - 1'!$L$21</f>
        <v>0</v>
      </c>
      <c r="I24" s="118"/>
    </row>
    <row r="25" spans="2:9" x14ac:dyDescent="0.25">
      <c r="B25" s="107">
        <f>'Tiragem - 2'!$L$16</f>
        <v>500</v>
      </c>
      <c r="C25" s="107"/>
      <c r="D25" s="118">
        <f>'Tiragem - 2'!$L$22</f>
        <v>0</v>
      </c>
      <c r="E25" s="118"/>
      <c r="F25" s="39" t="s">
        <v>49</v>
      </c>
      <c r="G25" s="90">
        <f>'Tiragem - 2'!$L$20</f>
        <v>0</v>
      </c>
      <c r="H25" s="121">
        <f>'Tiragem - 2'!$L$21</f>
        <v>0</v>
      </c>
      <c r="I25" s="121"/>
    </row>
    <row r="26" spans="2:9" x14ac:dyDescent="0.25">
      <c r="B26" s="107">
        <f>'Tiragem - 3'!$L$16</f>
        <v>1000</v>
      </c>
      <c r="C26" s="107"/>
      <c r="D26" s="118">
        <f>'Tiragem - 3'!$L$22</f>
        <v>0</v>
      </c>
      <c r="E26" s="118"/>
      <c r="F26" s="39" t="s">
        <v>49</v>
      </c>
      <c r="G26" s="90">
        <f>'Tiragem - 3'!$L$20</f>
        <v>0</v>
      </c>
      <c r="H26" s="118">
        <f>'Tiragem - 3'!$L$21</f>
        <v>0</v>
      </c>
      <c r="I26" s="118"/>
    </row>
    <row r="27" spans="2:9" x14ac:dyDescent="0.25">
      <c r="B27" s="107">
        <f>'Tiragem - 4'!$L$16</f>
        <v>2000</v>
      </c>
      <c r="C27" s="107"/>
      <c r="D27" s="118">
        <f>'Tiragem - 4'!$L$22</f>
        <v>0</v>
      </c>
      <c r="E27" s="118"/>
      <c r="F27" s="39" t="s">
        <v>49</v>
      </c>
      <c r="G27" s="90">
        <f>'Tiragem - 4'!$L$20</f>
        <v>0</v>
      </c>
      <c r="H27" s="118">
        <f>'Tiragem - 4'!$L$21</f>
        <v>0</v>
      </c>
      <c r="I27" s="118"/>
    </row>
    <row r="28" spans="2:9" x14ac:dyDescent="0.25">
      <c r="D28" s="58"/>
      <c r="E28" s="58"/>
      <c r="F28" s="58"/>
      <c r="G28" s="58"/>
    </row>
    <row r="29" spans="2:9" x14ac:dyDescent="0.25">
      <c r="B29" s="120" t="str">
        <f>Especificações!$I$25</f>
        <v>-&gt; Valores para pagamento via cartão de crédito (Sem Juros)</v>
      </c>
      <c r="C29" s="120"/>
      <c r="D29" s="120"/>
      <c r="E29" s="120"/>
      <c r="F29" s="120"/>
      <c r="G29" s="120"/>
      <c r="H29" s="120"/>
      <c r="I29" s="120"/>
    </row>
    <row r="30" spans="2:9" x14ac:dyDescent="0.25">
      <c r="D30" s="58"/>
      <c r="E30" s="58"/>
      <c r="F30" s="58"/>
      <c r="G30" s="58"/>
    </row>
    <row r="31" spans="2:9" x14ac:dyDescent="0.25">
      <c r="B31" s="107" t="s">
        <v>1</v>
      </c>
      <c r="C31" s="107"/>
      <c r="D31" s="107" t="s">
        <v>9</v>
      </c>
      <c r="E31" s="107"/>
      <c r="F31" s="107" t="s">
        <v>18</v>
      </c>
      <c r="G31" s="107"/>
      <c r="H31" s="107" t="s">
        <v>20</v>
      </c>
      <c r="I31" s="107"/>
    </row>
    <row r="32" spans="2:9" x14ac:dyDescent="0.25">
      <c r="B32" s="107">
        <f>'Tiragem - 1'!$L$16</f>
        <v>250</v>
      </c>
      <c r="C32" s="107"/>
      <c r="D32" s="118">
        <f>'Tiragem - 1'!$L$26</f>
        <v>0</v>
      </c>
      <c r="E32" s="118"/>
      <c r="F32" s="91" t="str">
        <f>'Tiragem - 1'!$L$29&amp;"x"</f>
        <v>3x</v>
      </c>
      <c r="G32" s="90">
        <f>'Tiragem - 1'!$L$24</f>
        <v>0</v>
      </c>
      <c r="H32" s="118">
        <f>'Tiragem - 1'!$L$25</f>
        <v>0</v>
      </c>
      <c r="I32" s="118"/>
    </row>
    <row r="33" spans="2:9" x14ac:dyDescent="0.25">
      <c r="B33" s="107">
        <f>'Tiragem - 2'!$L$16</f>
        <v>500</v>
      </c>
      <c r="C33" s="107"/>
      <c r="D33" s="118">
        <f>'Tiragem - 2'!$L$26</f>
        <v>0</v>
      </c>
      <c r="E33" s="118"/>
      <c r="F33" s="91" t="str">
        <f>'Tiragem - 2'!$L$29&amp;"x"</f>
        <v>3x</v>
      </c>
      <c r="G33" s="90">
        <f>'Tiragem - 2'!$L$24</f>
        <v>0</v>
      </c>
      <c r="H33" s="118">
        <f>'Tiragem - 2'!$L$25</f>
        <v>0</v>
      </c>
      <c r="I33" s="118"/>
    </row>
    <row r="34" spans="2:9" x14ac:dyDescent="0.25">
      <c r="B34" s="107">
        <f>'Tiragem - 3'!$L$16</f>
        <v>1000</v>
      </c>
      <c r="C34" s="107"/>
      <c r="D34" s="118">
        <f>'Tiragem - 3'!$L$26</f>
        <v>0</v>
      </c>
      <c r="E34" s="118"/>
      <c r="F34" s="91" t="str">
        <f>'Tiragem - 3'!$L$29&amp;"x"</f>
        <v>3x</v>
      </c>
      <c r="G34" s="90">
        <f>'Tiragem - 3'!$L$24</f>
        <v>0</v>
      </c>
      <c r="H34" s="118">
        <f>'Tiragem - 3'!$L$25</f>
        <v>0</v>
      </c>
      <c r="I34" s="118"/>
    </row>
    <row r="35" spans="2:9" x14ac:dyDescent="0.25">
      <c r="B35" s="107">
        <f>'Tiragem - 4'!$L$16</f>
        <v>2000</v>
      </c>
      <c r="C35" s="107"/>
      <c r="D35" s="118">
        <f>'Tiragem - 4'!$L$26</f>
        <v>0</v>
      </c>
      <c r="E35" s="118"/>
      <c r="F35" s="91" t="str">
        <f>'Tiragem - 4'!$L$29&amp;"x"</f>
        <v>3x</v>
      </c>
      <c r="G35" s="90">
        <f>'Tiragem - 4'!$L$24</f>
        <v>0</v>
      </c>
      <c r="H35" s="118">
        <f>'Tiragem - 4'!$L$25</f>
        <v>0</v>
      </c>
      <c r="I35" s="118"/>
    </row>
    <row r="37" spans="2:9" x14ac:dyDescent="0.25">
      <c r="B37" s="119" t="s">
        <v>53</v>
      </c>
      <c r="C37" s="119"/>
      <c r="D37" s="119"/>
      <c r="E37" s="119"/>
      <c r="F37" s="119"/>
      <c r="G37" s="119"/>
      <c r="H37" s="119"/>
      <c r="I37" s="119"/>
    </row>
    <row r="38" spans="2:9" ht="15" customHeight="1" x14ac:dyDescent="0.25">
      <c r="B38" s="119"/>
      <c r="C38" s="119"/>
      <c r="D38" s="119"/>
      <c r="E38" s="119"/>
      <c r="F38" s="119"/>
      <c r="G38" s="119"/>
      <c r="H38" s="119"/>
      <c r="I38" s="119"/>
    </row>
    <row r="39" spans="2:9" x14ac:dyDescent="0.25">
      <c r="B39" s="119"/>
      <c r="C39" s="119"/>
      <c r="D39" s="119"/>
      <c r="E39" s="119"/>
      <c r="F39" s="119"/>
      <c r="G39" s="119"/>
      <c r="H39" s="119"/>
      <c r="I39" s="119"/>
    </row>
    <row r="41" spans="2:9" x14ac:dyDescent="0.25">
      <c r="B41" s="59" t="s">
        <v>45</v>
      </c>
      <c r="C41" s="17"/>
      <c r="H41" s="60" t="s">
        <v>46</v>
      </c>
      <c r="I41" s="64"/>
    </row>
    <row r="42" spans="2:9" ht="5.25" customHeight="1" x14ac:dyDescent="0.25"/>
    <row r="43" spans="2:9" x14ac:dyDescent="0.25">
      <c r="B43" s="59" t="s">
        <v>52</v>
      </c>
      <c r="C43" s="17"/>
    </row>
  </sheetData>
  <mergeCells count="40">
    <mergeCell ref="H23:I23"/>
    <mergeCell ref="K3:M3"/>
    <mergeCell ref="B20:I20"/>
    <mergeCell ref="B21:I21"/>
    <mergeCell ref="B23:C23"/>
    <mergeCell ref="B3:C3"/>
    <mergeCell ref="D3:F3"/>
    <mergeCell ref="B9:I10"/>
    <mergeCell ref="B31:C31"/>
    <mergeCell ref="D23:E23"/>
    <mergeCell ref="D24:E24"/>
    <mergeCell ref="D25:E25"/>
    <mergeCell ref="D26:E26"/>
    <mergeCell ref="D31:E31"/>
    <mergeCell ref="B25:C25"/>
    <mergeCell ref="B26:C26"/>
    <mergeCell ref="B29:I29"/>
    <mergeCell ref="F23:G23"/>
    <mergeCell ref="B24:C24"/>
    <mergeCell ref="H24:I24"/>
    <mergeCell ref="H25:I25"/>
    <mergeCell ref="H31:I31"/>
    <mergeCell ref="F31:G31"/>
    <mergeCell ref="H26:I26"/>
    <mergeCell ref="B27:C27"/>
    <mergeCell ref="D27:E27"/>
    <mergeCell ref="H27:I27"/>
    <mergeCell ref="B37:I39"/>
    <mergeCell ref="B32:C32"/>
    <mergeCell ref="B33:C33"/>
    <mergeCell ref="B34:C34"/>
    <mergeCell ref="D32:E32"/>
    <mergeCell ref="H32:I32"/>
    <mergeCell ref="H33:I33"/>
    <mergeCell ref="H34:I34"/>
    <mergeCell ref="D33:E33"/>
    <mergeCell ref="D34:E34"/>
    <mergeCell ref="B35:C35"/>
    <mergeCell ref="D35:E35"/>
    <mergeCell ref="H35:I35"/>
  </mergeCells>
  <dataValidations count="5">
    <dataValidation allowBlank="1" showInputMessage="1" showErrorMessage="1" prompt="Insira as Economias mensais na tabela abaixo" sqref="K3 D3" xr:uid="{C69E547B-4199-411B-85BF-B133E226265A}"/>
    <dataValidation allowBlank="1" showInputMessage="1" showErrorMessage="1" prompt="O título é atualizado automaticamente nesta célula" sqref="C2" xr:uid="{E387064C-8347-4A43-A66F-4D5EC197A782}"/>
    <dataValidation allowBlank="1" showInputMessage="1" showErrorMessage="1" prompt="Insira o Valor nesta coluna sob este cabeçalho" sqref="D4" xr:uid="{DF778B4B-9A5A-4864-AE38-36B79311F151}"/>
    <dataValidation allowBlank="1" showInputMessage="1" showErrorMessage="1" prompt="Insira a Data do depósito da poupança nesta coluna sob este cabeçalho. Use filtros de cabeçalho para encontrar entradas específicas" sqref="C4" xr:uid="{40936EA4-024F-4BB2-B62F-7056545A9C04}"/>
    <dataValidation allowBlank="1" showInputMessage="1" showErrorMessage="1" prompt="Insira a Economia mensal nesta planilha" sqref="B2" xr:uid="{57791874-CA59-413A-B660-1537EBB31574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E0E46-4063-4A71-A9C6-1EFDD18B8D45}">
  <dimension ref="B2:G500"/>
  <sheetViews>
    <sheetView topLeftCell="A46" workbookViewId="0">
      <selection activeCell="C63" sqref="C63"/>
    </sheetView>
  </sheetViews>
  <sheetFormatPr defaultRowHeight="15" x14ac:dyDescent="0.25"/>
  <cols>
    <col min="1" max="1" width="2.85546875" customWidth="1"/>
    <col min="2" max="2" width="50.140625" bestFit="1" customWidth="1"/>
    <col min="3" max="3" width="34.5703125" bestFit="1" customWidth="1"/>
    <col min="4" max="4" width="14" bestFit="1" customWidth="1"/>
    <col min="5" max="5" width="6.7109375" bestFit="1" customWidth="1"/>
    <col min="6" max="6" width="12.42578125" bestFit="1" customWidth="1"/>
    <col min="7" max="7" width="12" bestFit="1" customWidth="1"/>
  </cols>
  <sheetData>
    <row r="2" spans="2:7" ht="30" customHeight="1" x14ac:dyDescent="0.25">
      <c r="B2" t="str" cm="1">
        <f t="array" ref="B2:G500">[1]Papel!$B$2:$G$500</f>
        <v>Papéis</v>
      </c>
      <c r="C2">
        <v>0</v>
      </c>
      <c r="D2">
        <v>0</v>
      </c>
      <c r="E2">
        <v>0</v>
      </c>
      <c r="F2">
        <v>0</v>
      </c>
      <c r="G2">
        <v>0</v>
      </c>
    </row>
    <row r="3" spans="2:7" x14ac:dyDescent="0.25">
      <c r="B3" t="str">
        <v>ID</v>
      </c>
      <c r="C3" t="str">
        <v>Papel</v>
      </c>
      <c r="D3" t="str">
        <v>Formato Papel</v>
      </c>
      <c r="E3" t="str">
        <v>Folhas</v>
      </c>
      <c r="F3" t="str">
        <v>Preço Pacote</v>
      </c>
      <c r="G3" t="str">
        <v>Preço Folha</v>
      </c>
    </row>
    <row r="4" spans="2:7" x14ac:dyDescent="0.25">
      <c r="B4" t="str">
        <v>Alto Copiativo 1 cb - 66 x 96 c/ 250fls</v>
      </c>
      <c r="C4" t="str">
        <v>Alto Copiativo 1 cb</v>
      </c>
      <c r="D4" t="str">
        <v>66 x 96</v>
      </c>
      <c r="E4">
        <v>250</v>
      </c>
      <c r="F4">
        <v>195</v>
      </c>
      <c r="G4">
        <v>0.78</v>
      </c>
    </row>
    <row r="5" spans="2:7" x14ac:dyDescent="0.25">
      <c r="B5" t="str">
        <v>Alto Copiativo 2 cfb - 66 x 96 c/ 250fls</v>
      </c>
      <c r="C5" t="str">
        <v>Alto Copiativo 2 cfb</v>
      </c>
      <c r="D5" t="str">
        <v>66 x 96</v>
      </c>
      <c r="E5">
        <v>250</v>
      </c>
      <c r="F5">
        <v>231</v>
      </c>
      <c r="G5">
        <v>0.92400000000000004</v>
      </c>
    </row>
    <row r="6" spans="2:7" x14ac:dyDescent="0.25">
      <c r="B6" t="str">
        <v>Alto Copiativo 3 CF - 66 x 96 c/ 250fls</v>
      </c>
      <c r="C6" t="str">
        <v>Alto Copiativo 3 CF</v>
      </c>
      <c r="D6" t="str">
        <v>66 x 96</v>
      </c>
      <c r="E6">
        <v>250</v>
      </c>
      <c r="F6">
        <v>178</v>
      </c>
      <c r="G6">
        <v>0.71199999999999997</v>
      </c>
    </row>
    <row r="7" spans="2:7" x14ac:dyDescent="0.25">
      <c r="B7" t="str">
        <v>AP 120g - 66 x 96 c/ 250fls</v>
      </c>
      <c r="C7" t="str">
        <v>AP 120g</v>
      </c>
      <c r="D7" t="str">
        <v>66 x 96</v>
      </c>
      <c r="E7">
        <v>250</v>
      </c>
      <c r="F7">
        <v>206.2</v>
      </c>
      <c r="G7">
        <v>0.82479999999999998</v>
      </c>
    </row>
    <row r="8" spans="2:7" x14ac:dyDescent="0.25">
      <c r="B8" t="str">
        <v>AP 150g - 64 x 88 c/ 250fls</v>
      </c>
      <c r="C8" t="str">
        <v>AP 150g</v>
      </c>
      <c r="D8" t="str">
        <v>64 x 88</v>
      </c>
      <c r="E8">
        <v>250</v>
      </c>
      <c r="F8">
        <v>236.54</v>
      </c>
      <c r="G8">
        <v>0.94616</v>
      </c>
    </row>
    <row r="9" spans="2:7" x14ac:dyDescent="0.25">
      <c r="B9" t="str">
        <v>AP 150g - 66 x 96 c/ 250fls</v>
      </c>
      <c r="C9" t="str">
        <v>AP 150g</v>
      </c>
      <c r="D9" t="str">
        <v>66 x 96</v>
      </c>
      <c r="E9">
        <v>250</v>
      </c>
      <c r="F9">
        <v>275.2</v>
      </c>
      <c r="G9">
        <v>1.1008</v>
      </c>
    </row>
    <row r="10" spans="2:7" x14ac:dyDescent="0.25">
      <c r="B10" t="str">
        <v>AP 150g - 76 x 112 c/ 150fls</v>
      </c>
      <c r="C10" t="str">
        <v>AP 150g</v>
      </c>
      <c r="D10" t="str">
        <v>76 x 112</v>
      </c>
      <c r="E10">
        <v>150</v>
      </c>
      <c r="F10">
        <v>212.08</v>
      </c>
      <c r="G10">
        <v>1.4138666666666668</v>
      </c>
    </row>
    <row r="11" spans="2:7" x14ac:dyDescent="0.25">
      <c r="B11" t="str">
        <v>AP 180g - 64 x 88 c/ 125fls</v>
      </c>
      <c r="C11" t="str">
        <v>AP 180g</v>
      </c>
      <c r="D11" t="str">
        <v>64 x 88</v>
      </c>
      <c r="E11">
        <v>125</v>
      </c>
      <c r="F11">
        <v>151.94</v>
      </c>
      <c r="G11">
        <v>1.2155199999999999</v>
      </c>
    </row>
    <row r="12" spans="2:7" x14ac:dyDescent="0.25">
      <c r="B12" t="str">
        <v>AP 180g - 66 x 96 c/ 250fls</v>
      </c>
      <c r="C12" t="str">
        <v>AP 180g</v>
      </c>
      <c r="D12" t="str">
        <v>66 x 96</v>
      </c>
      <c r="E12">
        <v>250</v>
      </c>
      <c r="F12">
        <v>292.25</v>
      </c>
      <c r="G12">
        <v>1.169</v>
      </c>
    </row>
    <row r="13" spans="2:7" x14ac:dyDescent="0.25">
      <c r="B13" t="str">
        <v>AP 180g - 76 x 112 c/ 150fls</v>
      </c>
      <c r="C13" t="str">
        <v>AP 180g</v>
      </c>
      <c r="D13" t="str">
        <v>76 x 112</v>
      </c>
      <c r="E13">
        <v>150</v>
      </c>
      <c r="F13">
        <v>259.7</v>
      </c>
      <c r="G13">
        <v>1.7313333333333332</v>
      </c>
    </row>
    <row r="14" spans="2:7" x14ac:dyDescent="0.25">
      <c r="B14" t="str">
        <v>AP 240g - 64 x 88 c/ 150fls</v>
      </c>
      <c r="C14" t="str">
        <v>AP 240g</v>
      </c>
      <c r="D14" t="str">
        <v>64 x 88</v>
      </c>
      <c r="E14">
        <v>150</v>
      </c>
      <c r="F14">
        <v>206.81</v>
      </c>
      <c r="G14">
        <v>1.3787333333333334</v>
      </c>
    </row>
    <row r="15" spans="2:7" x14ac:dyDescent="0.25">
      <c r="B15" t="str">
        <v>AP 240g - 64 x 88 c/ 125fls</v>
      </c>
      <c r="C15" t="str">
        <v>AP 240g</v>
      </c>
      <c r="D15" t="str">
        <v>64 x 88</v>
      </c>
      <c r="E15">
        <v>125</v>
      </c>
      <c r="F15">
        <v>202.59</v>
      </c>
      <c r="G15">
        <v>1.6207199999999999</v>
      </c>
    </row>
    <row r="16" spans="2:7" x14ac:dyDescent="0.25">
      <c r="B16" t="str">
        <v>AP 240g - 66 x 96 c/ 150fls</v>
      </c>
      <c r="C16" t="str">
        <v>AP 240g</v>
      </c>
      <c r="D16" t="str">
        <v>66 x 96</v>
      </c>
      <c r="E16">
        <v>150</v>
      </c>
      <c r="F16">
        <v>232.66</v>
      </c>
      <c r="G16">
        <v>1.5510666666666666</v>
      </c>
    </row>
    <row r="17" spans="2:7" x14ac:dyDescent="0.25">
      <c r="B17" t="str">
        <v>AP 240g - 76 x 112 c/ 125fls</v>
      </c>
      <c r="C17" t="str">
        <v>AP 240g</v>
      </c>
      <c r="D17" t="str">
        <v>76 x 112</v>
      </c>
      <c r="E17">
        <v>125</v>
      </c>
      <c r="F17">
        <v>288.56</v>
      </c>
      <c r="G17">
        <v>2.3084799999999999</v>
      </c>
    </row>
    <row r="18" spans="2:7" x14ac:dyDescent="0.25">
      <c r="B18" t="str">
        <v>AP 70g - 64 x 88 c/ 500fls</v>
      </c>
      <c r="C18" t="str">
        <v>AP 70g</v>
      </c>
      <c r="D18" t="str">
        <v>64 x 88</v>
      </c>
      <c r="E18">
        <v>500</v>
      </c>
      <c r="F18">
        <v>209.37</v>
      </c>
      <c r="G18">
        <v>0.41874</v>
      </c>
    </row>
    <row r="19" spans="2:7" x14ac:dyDescent="0.25">
      <c r="B19" t="str">
        <v>AP 70g - 66 x 96 c/ 500fls</v>
      </c>
      <c r="C19" t="str">
        <v>AP 70g</v>
      </c>
      <c r="D19" t="str">
        <v>66 x 96</v>
      </c>
      <c r="E19">
        <v>500</v>
      </c>
      <c r="F19">
        <v>231.52</v>
      </c>
      <c r="G19">
        <v>0.46304000000000001</v>
      </c>
    </row>
    <row r="20" spans="2:7" x14ac:dyDescent="0.25">
      <c r="B20" t="str">
        <v>AP 90g - 64 x 88 c/ 250fls</v>
      </c>
      <c r="C20" t="str">
        <v>AP 90g</v>
      </c>
      <c r="D20" t="str">
        <v>64 x 88</v>
      </c>
      <c r="E20">
        <v>250</v>
      </c>
      <c r="F20">
        <v>126.72</v>
      </c>
      <c r="G20">
        <v>0.50688</v>
      </c>
    </row>
    <row r="21" spans="2:7" x14ac:dyDescent="0.25">
      <c r="B21" t="str">
        <v>AP 90g - 66 x 96 c/ 500fls</v>
      </c>
      <c r="C21" t="str">
        <v>AP 90g</v>
      </c>
      <c r="D21" t="str">
        <v>66 x 96</v>
      </c>
      <c r="E21">
        <v>500</v>
      </c>
      <c r="F21">
        <v>302.83999999999997</v>
      </c>
      <c r="G21">
        <v>0.60568</v>
      </c>
    </row>
    <row r="22" spans="2:7" x14ac:dyDescent="0.25">
      <c r="B22" t="str">
        <v>AP 90g - 76 x 112 c/ 250fls</v>
      </c>
      <c r="C22" t="str">
        <v>AP 90g</v>
      </c>
      <c r="D22" t="str">
        <v>76 x 112</v>
      </c>
      <c r="E22">
        <v>250</v>
      </c>
      <c r="F22">
        <v>199.56</v>
      </c>
      <c r="G22">
        <v>0.79824000000000006</v>
      </c>
    </row>
    <row r="23" spans="2:7" x14ac:dyDescent="0.25">
      <c r="B23" t="str">
        <v>Couche 150g - Fosco/Brilho - 66 x 96 c/ 250fls</v>
      </c>
      <c r="C23" t="str">
        <v>Couche 150g - Fosco/Brilho</v>
      </c>
      <c r="D23" t="str">
        <v>66 x 96</v>
      </c>
      <c r="E23">
        <v>250</v>
      </c>
      <c r="F23">
        <v>350</v>
      </c>
      <c r="G23">
        <v>1.4</v>
      </c>
    </row>
    <row r="24" spans="2:7" x14ac:dyDescent="0.25">
      <c r="B24" t="str">
        <v>Couche Brilho 115g - 64 x 88 c/ 250fls</v>
      </c>
      <c r="C24" t="str">
        <v>Couche Brilho 115g</v>
      </c>
      <c r="D24" t="str">
        <v>64 x 88</v>
      </c>
      <c r="E24">
        <v>250</v>
      </c>
      <c r="F24">
        <v>221</v>
      </c>
      <c r="G24">
        <v>0.88400000000000001</v>
      </c>
    </row>
    <row r="25" spans="2:7" x14ac:dyDescent="0.25">
      <c r="B25" t="str">
        <v>Couche Brilho 115g - 66 x 96 c/ 250fls</v>
      </c>
      <c r="C25" t="str">
        <v>Couche Brilho 115g</v>
      </c>
      <c r="D25" t="str">
        <v>66 x 96</v>
      </c>
      <c r="E25">
        <v>250</v>
      </c>
      <c r="F25">
        <v>277</v>
      </c>
      <c r="G25">
        <v>1.1080000000000001</v>
      </c>
    </row>
    <row r="26" spans="2:7" x14ac:dyDescent="0.25">
      <c r="B26" t="str">
        <v>Couche Brilho 90g - 66 x 96 c/ 250fls</v>
      </c>
      <c r="C26" t="str">
        <v>Couche Brilho 90g</v>
      </c>
      <c r="D26" t="str">
        <v>66 x 96</v>
      </c>
      <c r="E26">
        <v>250</v>
      </c>
      <c r="F26">
        <v>217</v>
      </c>
      <c r="G26">
        <v>0.86799999999999999</v>
      </c>
    </row>
    <row r="27" spans="2:7" x14ac:dyDescent="0.25">
      <c r="B27" t="str">
        <v>Couche Magno Fosco 300g - 76 x 112 c/ 100fls</v>
      </c>
      <c r="C27" t="str">
        <v>Couche Magno Fosco 300g</v>
      </c>
      <c r="D27" t="str">
        <v>76 x 112</v>
      </c>
      <c r="E27">
        <v>100</v>
      </c>
      <c r="F27">
        <v>389.6</v>
      </c>
      <c r="G27">
        <v>3.8960000000000004</v>
      </c>
    </row>
    <row r="28" spans="2:7" x14ac:dyDescent="0.25">
      <c r="B28" t="str">
        <v>Couche Nevia Fosco 300g - 66 x 96 c/ 100fls</v>
      </c>
      <c r="C28" t="str">
        <v>Couche Nevia Fosco 300g</v>
      </c>
      <c r="D28" t="str">
        <v>66 x 96</v>
      </c>
      <c r="E28">
        <v>100</v>
      </c>
      <c r="F28">
        <v>289.95999999999998</v>
      </c>
      <c r="G28">
        <v>2.8996</v>
      </c>
    </row>
    <row r="29" spans="2:7" x14ac:dyDescent="0.25">
      <c r="B29" t="str">
        <v>Couche Nevia Fosco 300g - 66 x 96 c/ 125fls</v>
      </c>
      <c r="C29" t="str">
        <v>Couche Nevia Fosco 300g</v>
      </c>
      <c r="D29" t="str">
        <v>66 x 96</v>
      </c>
      <c r="E29">
        <v>125</v>
      </c>
      <c r="F29">
        <v>392.6</v>
      </c>
      <c r="G29">
        <v>3.1408</v>
      </c>
    </row>
    <row r="30" spans="2:7" x14ac:dyDescent="0.25">
      <c r="B30" t="str">
        <v>Duplex Ecopack MD 210g - 77 x 113 c/ 525fls</v>
      </c>
      <c r="C30" t="str">
        <v>Duplex Ecopack MD 210g</v>
      </c>
      <c r="D30" t="str">
        <v>77 x 113</v>
      </c>
      <c r="E30">
        <v>525</v>
      </c>
      <c r="F30">
        <v>1178.6500000000001</v>
      </c>
      <c r="G30">
        <v>2.2450476190476194</v>
      </c>
    </row>
    <row r="31" spans="2:7" x14ac:dyDescent="0.25">
      <c r="B31" t="str">
        <v>Duplex Ecopack MD 210g - 96 x 113 c/ 1050fls</v>
      </c>
      <c r="C31" t="str">
        <v>Duplex Ecopack MD 210g</v>
      </c>
      <c r="D31" t="str">
        <v>96 x 113</v>
      </c>
      <c r="E31">
        <v>1050</v>
      </c>
      <c r="F31">
        <v>2938.97</v>
      </c>
      <c r="G31">
        <v>2.7990190476190473</v>
      </c>
    </row>
    <row r="32" spans="2:7" x14ac:dyDescent="0.25">
      <c r="B32" t="str">
        <v>Duplex Klabin 205g - 77 x 113 c/ 283fls</v>
      </c>
      <c r="C32" t="str">
        <v>Duplex Klabin 205g</v>
      </c>
      <c r="D32" t="str">
        <v>77 x 113</v>
      </c>
      <c r="E32">
        <v>283</v>
      </c>
      <c r="F32">
        <v>646.28</v>
      </c>
      <c r="G32">
        <v>2.2836749116607771</v>
      </c>
    </row>
    <row r="33" spans="2:7" x14ac:dyDescent="0.25">
      <c r="B33" t="str">
        <v>Duplex Klabin 205g - 77 x 113 c/ 525fls</v>
      </c>
      <c r="C33" t="str">
        <v>Duplex Klabin 205g</v>
      </c>
      <c r="D33" t="str">
        <v>77 x 113</v>
      </c>
      <c r="E33">
        <v>525</v>
      </c>
      <c r="F33">
        <v>1198.93</v>
      </c>
      <c r="G33">
        <v>2.2836761904761906</v>
      </c>
    </row>
    <row r="34" spans="2:7" x14ac:dyDescent="0.25">
      <c r="B34" t="str">
        <v>Duplex Printkot MD 230g - 77 x 113 c/ 275fls</v>
      </c>
      <c r="C34" t="str">
        <v>Duplex Printkot MD 230g</v>
      </c>
      <c r="D34" t="str">
        <v>77 x 113</v>
      </c>
      <c r="E34">
        <v>275</v>
      </c>
      <c r="F34">
        <v>690.39</v>
      </c>
      <c r="G34">
        <v>2.5105090909090908</v>
      </c>
    </row>
    <row r="35" spans="2:7" x14ac:dyDescent="0.25">
      <c r="B35" t="str">
        <v>Duplex Printkot MD 230g - 77 x 113 c/ 525fls</v>
      </c>
      <c r="C35" t="str">
        <v>Duplex Printkot MD 230g</v>
      </c>
      <c r="D35" t="str">
        <v>77 x 113</v>
      </c>
      <c r="E35">
        <v>525</v>
      </c>
      <c r="F35">
        <v>1318.02</v>
      </c>
      <c r="G35">
        <v>2.5105142857142857</v>
      </c>
    </row>
    <row r="36" spans="2:7" x14ac:dyDescent="0.25">
      <c r="B36" t="str">
        <v>Floport 35gr - Papel de Seda -  c/ 500fls</v>
      </c>
      <c r="C36" t="str">
        <v>Floport 35gr - Papel de Seda</v>
      </c>
      <c r="D36">
        <v>0</v>
      </c>
      <c r="E36">
        <v>500</v>
      </c>
      <c r="F36">
        <v>196.5</v>
      </c>
      <c r="G36">
        <v>0.39300000000000002</v>
      </c>
    </row>
    <row r="37" spans="2:7" x14ac:dyDescent="0.25">
      <c r="B37" t="str">
        <v>Kraft 135g - 63 x 113 c/ 1050fls</v>
      </c>
      <c r="C37" t="str">
        <v>Kraft 135g</v>
      </c>
      <c r="D37" t="str">
        <v>63 x 113</v>
      </c>
      <c r="E37">
        <v>1050</v>
      </c>
      <c r="F37">
        <v>1047.21</v>
      </c>
      <c r="G37">
        <v>0.9973428571428572</v>
      </c>
    </row>
    <row r="38" spans="2:7" x14ac:dyDescent="0.25">
      <c r="B38" t="str">
        <v>Kraft 135g - 66 x 96 c/ 250fls</v>
      </c>
      <c r="C38" t="str">
        <v>Kraft 135g</v>
      </c>
      <c r="D38" t="str">
        <v>66 x 96</v>
      </c>
      <c r="E38">
        <v>250</v>
      </c>
      <c r="F38">
        <v>221.85</v>
      </c>
      <c r="G38">
        <v>0.88739999999999997</v>
      </c>
    </row>
    <row r="39" spans="2:7" x14ac:dyDescent="0.25">
      <c r="B39" t="str">
        <v>Kraft 135g - 96 x 53 c/ 1050fls</v>
      </c>
      <c r="C39" t="str">
        <v>Kraft 135g</v>
      </c>
      <c r="D39" t="str">
        <v>96 x 53</v>
      </c>
      <c r="E39">
        <v>1050</v>
      </c>
      <c r="F39">
        <v>722.32</v>
      </c>
      <c r="G39">
        <v>0.6879238095238096</v>
      </c>
    </row>
    <row r="40" spans="2:7" x14ac:dyDescent="0.25">
      <c r="B40" t="str">
        <v>Kraft 135g - 96 x 76 c/ 525fls</v>
      </c>
      <c r="C40" t="str">
        <v>Kraft 135g</v>
      </c>
      <c r="D40" t="str">
        <v>96 x 76</v>
      </c>
      <c r="E40">
        <v>525</v>
      </c>
      <c r="F40">
        <v>517.89</v>
      </c>
      <c r="G40">
        <v>0.98645714285714281</v>
      </c>
    </row>
    <row r="41" spans="2:7" x14ac:dyDescent="0.25">
      <c r="B41" t="str">
        <v>Kraft 135g - 77 x 113 c/ 250fls</v>
      </c>
      <c r="C41" t="str">
        <v>Kraft 135g</v>
      </c>
      <c r="D41" t="str">
        <v>77 x 113</v>
      </c>
      <c r="E41">
        <v>250</v>
      </c>
      <c r="F41">
        <v>304.76</v>
      </c>
      <c r="G41">
        <v>1.2190399999999999</v>
      </c>
    </row>
    <row r="42" spans="2:7" x14ac:dyDescent="0.25">
      <c r="B42" t="str">
        <v>Kraft 170g - 113 x 63 c/ 1050fls</v>
      </c>
      <c r="C42" t="str">
        <v>Kraft 170g</v>
      </c>
      <c r="D42" t="str">
        <v>113 x 63</v>
      </c>
      <c r="E42">
        <v>1050</v>
      </c>
      <c r="F42">
        <v>1318.7</v>
      </c>
      <c r="G42">
        <v>1.2559047619047619</v>
      </c>
    </row>
    <row r="43" spans="2:7" x14ac:dyDescent="0.25">
      <c r="B43" t="str">
        <v>Kraft 170g - 66 x 96 c/ 1050fls</v>
      </c>
      <c r="C43" t="str">
        <v>Kraft 170g</v>
      </c>
      <c r="D43" t="str">
        <v>66 x 96</v>
      </c>
      <c r="E43">
        <v>1050</v>
      </c>
      <c r="F43">
        <v>1132.58</v>
      </c>
      <c r="G43">
        <v>1.0786476190476191</v>
      </c>
    </row>
    <row r="44" spans="2:7" x14ac:dyDescent="0.25">
      <c r="B44" t="str">
        <v>Kraft 90g - 66 x 96 c/ 250fls</v>
      </c>
      <c r="C44" t="str">
        <v>Kraft 90g</v>
      </c>
      <c r="D44" t="str">
        <v>66 x 96</v>
      </c>
      <c r="E44">
        <v>250</v>
      </c>
      <c r="F44">
        <v>151.81</v>
      </c>
      <c r="G44">
        <v>0.60724</v>
      </c>
    </row>
    <row r="45" spans="2:7" x14ac:dyDescent="0.25">
      <c r="B45" t="str">
        <v>Kraft 90g - 77 x 113 c/ 250fls</v>
      </c>
      <c r="C45" t="str">
        <v>Kraft 90g</v>
      </c>
      <c r="D45" t="str">
        <v>77 x 113</v>
      </c>
      <c r="E45">
        <v>250</v>
      </c>
      <c r="F45">
        <v>208.39</v>
      </c>
      <c r="G45">
        <v>0.83355999999999997</v>
      </c>
    </row>
    <row r="46" spans="2:7" x14ac:dyDescent="0.25">
      <c r="B46" t="str">
        <v>Kraft Klaliner Klabin 135g - 96 x 57 c/ 1050fls</v>
      </c>
      <c r="C46" t="str">
        <v>Kraft Klaliner Klabin 135g</v>
      </c>
      <c r="D46" t="str">
        <v>96 x 57</v>
      </c>
      <c r="E46">
        <v>1050</v>
      </c>
      <c r="F46">
        <v>804.87</v>
      </c>
      <c r="G46">
        <v>0.76654285714285719</v>
      </c>
    </row>
    <row r="47" spans="2:7" x14ac:dyDescent="0.25">
      <c r="B47" t="str">
        <v>Papel Reciclato 90g - 66 x 96 c/ 250fls</v>
      </c>
      <c r="C47" t="str">
        <v>Papel Reciclato 90g</v>
      </c>
      <c r="D47" t="str">
        <v>66 x 96</v>
      </c>
      <c r="E47">
        <v>250</v>
      </c>
      <c r="F47">
        <v>165.26</v>
      </c>
      <c r="G47">
        <v>0.66103999999999996</v>
      </c>
    </row>
    <row r="48" spans="2:7" x14ac:dyDescent="0.25">
      <c r="B48" t="str">
        <v>Triplex Graphics 290g - 66 x 96 c/ 100fls</v>
      </c>
      <c r="C48" t="str">
        <v>Triplex Graphics 290g</v>
      </c>
      <c r="D48" t="str">
        <v>66 x 96</v>
      </c>
      <c r="E48">
        <v>100</v>
      </c>
      <c r="F48">
        <v>271.08999999999997</v>
      </c>
      <c r="G48">
        <v>2.7108999999999996</v>
      </c>
    </row>
    <row r="49" spans="2:7" x14ac:dyDescent="0.25">
      <c r="B49" t="str">
        <v>Triplex Supera White 240g - 66 x 96 c/ 100fls</v>
      </c>
      <c r="C49" t="str">
        <v>Triplex Supera White 240g</v>
      </c>
      <c r="D49" t="str">
        <v>66 x 96</v>
      </c>
      <c r="E49">
        <v>100</v>
      </c>
      <c r="F49">
        <v>227.15</v>
      </c>
      <c r="G49">
        <v>2.2715000000000001</v>
      </c>
    </row>
    <row r="50" spans="2:7" x14ac:dyDescent="0.25">
      <c r="B50" t="str">
        <v>Triplex Supera White 240g - 77 x 113 c/ 100fls</v>
      </c>
      <c r="C50" t="str">
        <v>Triplex Supera White 240g</v>
      </c>
      <c r="D50" t="str">
        <v>77 x 113</v>
      </c>
      <c r="E50">
        <v>100</v>
      </c>
      <c r="F50">
        <v>312</v>
      </c>
      <c r="G50">
        <v>3.12</v>
      </c>
    </row>
    <row r="51" spans="2:7" x14ac:dyDescent="0.25">
      <c r="B51" t="str">
        <v>Triplex Zenith 295g - 77 x 113 c/ 100fls</v>
      </c>
      <c r="C51" t="str">
        <v>Triplex Zenith 295g</v>
      </c>
      <c r="D51" t="str">
        <v>77 x 113</v>
      </c>
      <c r="E51">
        <v>100</v>
      </c>
      <c r="F51">
        <v>379.96</v>
      </c>
      <c r="G51">
        <v>3.7995999999999999</v>
      </c>
    </row>
    <row r="52" spans="2:7" x14ac:dyDescent="0.25">
      <c r="B52" t="str">
        <v>Triplex Zian Solid 250g - 48 x 54 c/ 4200fls</v>
      </c>
      <c r="C52" t="str">
        <v>Triplex Zian Solid 250g</v>
      </c>
      <c r="D52" t="str">
        <v>48 x 54</v>
      </c>
      <c r="E52">
        <v>4200</v>
      </c>
      <c r="F52">
        <v>3709.27</v>
      </c>
      <c r="G52">
        <v>0.88315952380952378</v>
      </c>
    </row>
    <row r="53" spans="2:7" x14ac:dyDescent="0.25">
      <c r="B53" t="str">
        <v>Zian Pack 130g - 66 x 96 c/ 150fls</v>
      </c>
      <c r="C53" t="str">
        <v>Zian Pack 130g</v>
      </c>
      <c r="D53" t="str">
        <v>66 x 96</v>
      </c>
      <c r="E53">
        <v>150</v>
      </c>
      <c r="F53">
        <v>103.33</v>
      </c>
      <c r="G53">
        <v>0.68886666666666663</v>
      </c>
    </row>
    <row r="54" spans="2:7" x14ac:dyDescent="0.25">
      <c r="B54" t="str">
        <v>Zian Pack 130g - 77 x 113 c/ 150fls</v>
      </c>
      <c r="C54" t="str">
        <v>Zian Pack 130g</v>
      </c>
      <c r="D54" t="str">
        <v>77 x 113</v>
      </c>
      <c r="E54">
        <v>150</v>
      </c>
      <c r="F54">
        <v>141.9</v>
      </c>
      <c r="G54">
        <v>0.94600000000000006</v>
      </c>
    </row>
    <row r="55" spans="2:7" x14ac:dyDescent="0.25">
      <c r="B55" t="str">
        <v>Zian Pack 150g - 66 x 96 c/ 150fls</v>
      </c>
      <c r="C55" t="str">
        <v>Zian Pack 150g</v>
      </c>
      <c r="D55" t="str">
        <v>66 x 96</v>
      </c>
      <c r="E55">
        <v>150</v>
      </c>
      <c r="F55">
        <v>119.22</v>
      </c>
      <c r="G55">
        <v>0.79479999999999995</v>
      </c>
    </row>
    <row r="56" spans="2:7" x14ac:dyDescent="0.25">
      <c r="B56" t="str">
        <v>Zian Pack 150g - 77 x 113 c/ 150fls</v>
      </c>
      <c r="C56" t="str">
        <v>Zian Pack 150g</v>
      </c>
      <c r="D56" t="str">
        <v>77 x 113</v>
      </c>
      <c r="E56">
        <v>150</v>
      </c>
      <c r="F56">
        <v>163.75</v>
      </c>
      <c r="G56">
        <v>1.0916666666666666</v>
      </c>
    </row>
    <row r="57" spans="2:7" x14ac:dyDescent="0.25">
      <c r="B57" t="str">
        <v>Zian Pack 150g - 96 x 53 c/ 1050fls</v>
      </c>
      <c r="C57" t="str">
        <v>Zian Pack 150g</v>
      </c>
      <c r="D57" t="str">
        <v>96 x 53</v>
      </c>
      <c r="E57">
        <v>1050</v>
      </c>
      <c r="F57">
        <v>670.2</v>
      </c>
      <c r="G57">
        <v>0.63828571428571435</v>
      </c>
    </row>
    <row r="58" spans="2:7" x14ac:dyDescent="0.25">
      <c r="B58" t="str">
        <v>Zian Pack 150g - 96 x 76 c/ 525fls</v>
      </c>
      <c r="C58" t="str">
        <v>Zian Pack 150g</v>
      </c>
      <c r="D58" t="str">
        <v>96 x 76</v>
      </c>
      <c r="E58">
        <v>525</v>
      </c>
      <c r="F58">
        <v>480.52</v>
      </c>
      <c r="G58">
        <v>0.91527619047619047</v>
      </c>
    </row>
    <row r="59" spans="2:7" x14ac:dyDescent="0.25">
      <c r="B59" t="str">
        <v>Envelope Pronto - 11,4x16,2 c/ 1000fls</v>
      </c>
      <c r="C59" t="str">
        <v>Envelope Pronto</v>
      </c>
      <c r="D59" t="str">
        <v>11,4x16,2</v>
      </c>
      <c r="E59">
        <v>1000</v>
      </c>
      <c r="F59">
        <v>76.7</v>
      </c>
      <c r="G59">
        <v>7.6700000000000004E-2</v>
      </c>
    </row>
    <row r="60" spans="2:7" x14ac:dyDescent="0.25">
      <c r="B60" t="str">
        <v>Duplex Ecopack MD 210g - 66 x 44 c/ 1100fls</v>
      </c>
      <c r="C60" t="str">
        <v>Duplex Ecopack MD 210g</v>
      </c>
      <c r="D60" t="str">
        <v>66 x 44</v>
      </c>
      <c r="E60">
        <v>1100</v>
      </c>
      <c r="F60">
        <v>824.22</v>
      </c>
      <c r="G60">
        <v>0.74929090909090912</v>
      </c>
    </row>
    <row r="61" spans="2:7" x14ac:dyDescent="0.25">
      <c r="B61" t="str">
        <v>Duplex Ecopack MD 210g - 66 x 44 c/ 2100fls</v>
      </c>
      <c r="C61" t="str">
        <v>Duplex Ecopack MD 210g</v>
      </c>
      <c r="D61" t="str">
        <v>66 x 44</v>
      </c>
      <c r="E61">
        <v>2100</v>
      </c>
      <c r="F61">
        <v>1573.52</v>
      </c>
      <c r="G61">
        <v>0.74929523809523813</v>
      </c>
    </row>
    <row r="62" spans="2:7" x14ac:dyDescent="0.25">
      <c r="B62" t="str">
        <v>Cartolina 180g - Amarela, Azul, Verde - 55 x 73 c/ 100fls</v>
      </c>
      <c r="C62" t="str">
        <v>Cartolina 180g - Amarela, Azul, Verde</v>
      </c>
      <c r="D62" t="str">
        <v>55 x 73</v>
      </c>
      <c r="E62">
        <v>100</v>
      </c>
      <c r="F62">
        <v>135</v>
      </c>
      <c r="G62">
        <v>1.35</v>
      </c>
    </row>
    <row r="63" spans="2:7" x14ac:dyDescent="0.25">
      <c r="B63" t="str">
        <v/>
      </c>
      <c r="C63">
        <v>0</v>
      </c>
      <c r="D63">
        <v>0</v>
      </c>
      <c r="E63">
        <v>0</v>
      </c>
      <c r="F63">
        <v>0</v>
      </c>
      <c r="G63" t="str">
        <v/>
      </c>
    </row>
    <row r="64" spans="2:7" x14ac:dyDescent="0.25">
      <c r="B64" t="str">
        <v/>
      </c>
      <c r="C64">
        <v>0</v>
      </c>
      <c r="D64">
        <v>0</v>
      </c>
      <c r="E64">
        <v>0</v>
      </c>
      <c r="F64">
        <v>0</v>
      </c>
      <c r="G64" t="str">
        <v/>
      </c>
    </row>
    <row r="65" spans="2:7" x14ac:dyDescent="0.25">
      <c r="B65" t="str">
        <v/>
      </c>
      <c r="C65">
        <v>0</v>
      </c>
      <c r="D65">
        <v>0</v>
      </c>
      <c r="E65">
        <v>0</v>
      </c>
      <c r="F65">
        <v>0</v>
      </c>
      <c r="G65" t="str">
        <v/>
      </c>
    </row>
    <row r="66" spans="2:7" x14ac:dyDescent="0.25">
      <c r="B66" t="str">
        <v/>
      </c>
      <c r="C66">
        <v>0</v>
      </c>
      <c r="D66">
        <v>0</v>
      </c>
      <c r="E66">
        <v>0</v>
      </c>
      <c r="F66">
        <v>0</v>
      </c>
      <c r="G66" t="str">
        <v/>
      </c>
    </row>
    <row r="67" spans="2:7" x14ac:dyDescent="0.25">
      <c r="B67" t="str">
        <v/>
      </c>
      <c r="C67">
        <v>0</v>
      </c>
      <c r="D67">
        <v>0</v>
      </c>
      <c r="E67">
        <v>0</v>
      </c>
      <c r="F67">
        <v>0</v>
      </c>
      <c r="G67" t="str">
        <v/>
      </c>
    </row>
    <row r="68" spans="2:7" x14ac:dyDescent="0.25">
      <c r="B68" t="str">
        <v/>
      </c>
      <c r="C68">
        <v>0</v>
      </c>
      <c r="D68">
        <v>0</v>
      </c>
      <c r="E68">
        <v>0</v>
      </c>
      <c r="F68">
        <v>0</v>
      </c>
      <c r="G68" t="str">
        <v/>
      </c>
    </row>
    <row r="69" spans="2:7" x14ac:dyDescent="0.25">
      <c r="B69" t="str">
        <v/>
      </c>
      <c r="C69">
        <v>0</v>
      </c>
      <c r="D69">
        <v>0</v>
      </c>
      <c r="E69">
        <v>0</v>
      </c>
      <c r="F69">
        <v>0</v>
      </c>
      <c r="G69" t="str">
        <v/>
      </c>
    </row>
    <row r="70" spans="2:7" x14ac:dyDescent="0.25">
      <c r="B70" t="str">
        <v/>
      </c>
      <c r="C70">
        <v>0</v>
      </c>
      <c r="D70">
        <v>0</v>
      </c>
      <c r="E70">
        <v>0</v>
      </c>
      <c r="F70">
        <v>0</v>
      </c>
      <c r="G70" t="str">
        <v/>
      </c>
    </row>
    <row r="71" spans="2:7" x14ac:dyDescent="0.25">
      <c r="B71" t="str">
        <v/>
      </c>
      <c r="C71">
        <v>0</v>
      </c>
      <c r="D71">
        <v>0</v>
      </c>
      <c r="E71">
        <v>0</v>
      </c>
      <c r="F71">
        <v>0</v>
      </c>
      <c r="G71" t="str">
        <v/>
      </c>
    </row>
    <row r="72" spans="2:7" x14ac:dyDescent="0.25">
      <c r="B72" t="str">
        <v/>
      </c>
      <c r="C72">
        <v>0</v>
      </c>
      <c r="D72">
        <v>0</v>
      </c>
      <c r="E72">
        <v>0</v>
      </c>
      <c r="F72">
        <v>0</v>
      </c>
      <c r="G72" t="str">
        <v/>
      </c>
    </row>
    <row r="73" spans="2:7" x14ac:dyDescent="0.25">
      <c r="B73" t="str">
        <v/>
      </c>
      <c r="C73">
        <v>0</v>
      </c>
      <c r="D73">
        <v>0</v>
      </c>
      <c r="E73">
        <v>0</v>
      </c>
      <c r="F73">
        <v>0</v>
      </c>
      <c r="G73" t="str">
        <v/>
      </c>
    </row>
    <row r="74" spans="2:7" x14ac:dyDescent="0.25">
      <c r="B74" t="str">
        <v/>
      </c>
      <c r="C74">
        <v>0</v>
      </c>
      <c r="D74">
        <v>0</v>
      </c>
      <c r="E74">
        <v>0</v>
      </c>
      <c r="F74">
        <v>0</v>
      </c>
      <c r="G74" t="str">
        <v/>
      </c>
    </row>
    <row r="75" spans="2:7" x14ac:dyDescent="0.25">
      <c r="B75" t="str">
        <v/>
      </c>
      <c r="C75">
        <v>0</v>
      </c>
      <c r="D75">
        <v>0</v>
      </c>
      <c r="E75">
        <v>0</v>
      </c>
      <c r="F75">
        <v>0</v>
      </c>
      <c r="G75" t="str">
        <v/>
      </c>
    </row>
    <row r="76" spans="2:7" x14ac:dyDescent="0.25">
      <c r="B76" t="str">
        <v/>
      </c>
      <c r="C76">
        <v>0</v>
      </c>
      <c r="D76">
        <v>0</v>
      </c>
      <c r="E76">
        <v>0</v>
      </c>
      <c r="F76">
        <v>0</v>
      </c>
      <c r="G76" t="str">
        <v/>
      </c>
    </row>
    <row r="77" spans="2:7" x14ac:dyDescent="0.25">
      <c r="B77" t="str">
        <v/>
      </c>
      <c r="C77">
        <v>0</v>
      </c>
      <c r="D77">
        <v>0</v>
      </c>
      <c r="E77">
        <v>0</v>
      </c>
      <c r="F77">
        <v>0</v>
      </c>
      <c r="G77" t="str">
        <v/>
      </c>
    </row>
    <row r="78" spans="2:7" x14ac:dyDescent="0.25">
      <c r="B78" t="str">
        <v/>
      </c>
      <c r="C78">
        <v>0</v>
      </c>
      <c r="D78">
        <v>0</v>
      </c>
      <c r="E78">
        <v>0</v>
      </c>
      <c r="F78">
        <v>0</v>
      </c>
      <c r="G78" t="str">
        <v/>
      </c>
    </row>
    <row r="79" spans="2:7" x14ac:dyDescent="0.25">
      <c r="B79" t="str">
        <v/>
      </c>
      <c r="C79">
        <v>0</v>
      </c>
      <c r="D79">
        <v>0</v>
      </c>
      <c r="E79">
        <v>0</v>
      </c>
      <c r="F79">
        <v>0</v>
      </c>
      <c r="G79" t="str">
        <v/>
      </c>
    </row>
    <row r="80" spans="2:7" x14ac:dyDescent="0.25">
      <c r="B80" t="str">
        <v/>
      </c>
      <c r="C80">
        <v>0</v>
      </c>
      <c r="D80">
        <v>0</v>
      </c>
      <c r="E80">
        <v>0</v>
      </c>
      <c r="F80">
        <v>0</v>
      </c>
      <c r="G80" t="str">
        <v/>
      </c>
    </row>
    <row r="81" spans="2:7" x14ac:dyDescent="0.25">
      <c r="B81" t="str">
        <v/>
      </c>
      <c r="C81">
        <v>0</v>
      </c>
      <c r="D81">
        <v>0</v>
      </c>
      <c r="E81">
        <v>0</v>
      </c>
      <c r="F81">
        <v>0</v>
      </c>
      <c r="G81" t="str">
        <v/>
      </c>
    </row>
    <row r="82" spans="2:7" x14ac:dyDescent="0.25">
      <c r="B82" t="str">
        <v/>
      </c>
      <c r="C82">
        <v>0</v>
      </c>
      <c r="D82">
        <v>0</v>
      </c>
      <c r="E82">
        <v>0</v>
      </c>
      <c r="F82">
        <v>0</v>
      </c>
      <c r="G82" t="str">
        <v/>
      </c>
    </row>
    <row r="83" spans="2:7" x14ac:dyDescent="0.25">
      <c r="B83" t="str">
        <v/>
      </c>
      <c r="C83">
        <v>0</v>
      </c>
      <c r="D83">
        <v>0</v>
      </c>
      <c r="E83">
        <v>0</v>
      </c>
      <c r="F83">
        <v>0</v>
      </c>
      <c r="G83" t="str">
        <v/>
      </c>
    </row>
    <row r="84" spans="2:7" x14ac:dyDescent="0.25">
      <c r="B84" t="str">
        <v/>
      </c>
      <c r="C84">
        <v>0</v>
      </c>
      <c r="D84">
        <v>0</v>
      </c>
      <c r="E84">
        <v>0</v>
      </c>
      <c r="F84">
        <v>0</v>
      </c>
      <c r="G84" t="str">
        <v/>
      </c>
    </row>
    <row r="85" spans="2:7" x14ac:dyDescent="0.25">
      <c r="B85" t="str">
        <v/>
      </c>
      <c r="C85">
        <v>0</v>
      </c>
      <c r="D85">
        <v>0</v>
      </c>
      <c r="E85">
        <v>0</v>
      </c>
      <c r="F85">
        <v>0</v>
      </c>
      <c r="G85" t="str">
        <v/>
      </c>
    </row>
    <row r="86" spans="2:7" x14ac:dyDescent="0.25">
      <c r="B86" t="str">
        <v/>
      </c>
      <c r="C86">
        <v>0</v>
      </c>
      <c r="D86">
        <v>0</v>
      </c>
      <c r="E86">
        <v>0</v>
      </c>
      <c r="F86">
        <v>0</v>
      </c>
      <c r="G86" t="str">
        <v/>
      </c>
    </row>
    <row r="87" spans="2:7" x14ac:dyDescent="0.25">
      <c r="B87" t="str">
        <v/>
      </c>
      <c r="C87">
        <v>0</v>
      </c>
      <c r="D87">
        <v>0</v>
      </c>
      <c r="E87">
        <v>0</v>
      </c>
      <c r="F87">
        <v>0</v>
      </c>
      <c r="G87" t="str">
        <v/>
      </c>
    </row>
    <row r="88" spans="2:7" x14ac:dyDescent="0.25">
      <c r="B88" t="str">
        <v/>
      </c>
      <c r="C88">
        <v>0</v>
      </c>
      <c r="D88">
        <v>0</v>
      </c>
      <c r="E88">
        <v>0</v>
      </c>
      <c r="F88">
        <v>0</v>
      </c>
      <c r="G88" t="str">
        <v/>
      </c>
    </row>
    <row r="89" spans="2:7" x14ac:dyDescent="0.25">
      <c r="B89" t="str">
        <v/>
      </c>
      <c r="C89">
        <v>0</v>
      </c>
      <c r="D89">
        <v>0</v>
      </c>
      <c r="E89">
        <v>0</v>
      </c>
      <c r="F89">
        <v>0</v>
      </c>
      <c r="G89" t="str">
        <v/>
      </c>
    </row>
    <row r="90" spans="2:7" x14ac:dyDescent="0.25">
      <c r="B90" t="str">
        <v/>
      </c>
      <c r="C90">
        <v>0</v>
      </c>
      <c r="D90">
        <v>0</v>
      </c>
      <c r="E90">
        <v>0</v>
      </c>
      <c r="F90">
        <v>0</v>
      </c>
      <c r="G90" t="str">
        <v/>
      </c>
    </row>
    <row r="91" spans="2:7" x14ac:dyDescent="0.25">
      <c r="B91" t="str">
        <v/>
      </c>
      <c r="C91">
        <v>0</v>
      </c>
      <c r="D91">
        <v>0</v>
      </c>
      <c r="E91">
        <v>0</v>
      </c>
      <c r="F91">
        <v>0</v>
      </c>
      <c r="G91" t="str">
        <v/>
      </c>
    </row>
    <row r="92" spans="2:7" x14ac:dyDescent="0.25">
      <c r="B92" t="str">
        <v/>
      </c>
      <c r="C92">
        <v>0</v>
      </c>
      <c r="D92">
        <v>0</v>
      </c>
      <c r="E92">
        <v>0</v>
      </c>
      <c r="F92">
        <v>0</v>
      </c>
      <c r="G92" t="str">
        <v/>
      </c>
    </row>
    <row r="93" spans="2:7" x14ac:dyDescent="0.25">
      <c r="B93" t="str">
        <v/>
      </c>
      <c r="C93">
        <v>0</v>
      </c>
      <c r="D93">
        <v>0</v>
      </c>
      <c r="E93">
        <v>0</v>
      </c>
      <c r="F93">
        <v>0</v>
      </c>
      <c r="G93" t="str">
        <v/>
      </c>
    </row>
    <row r="94" spans="2:7" x14ac:dyDescent="0.25">
      <c r="B94" t="str">
        <v/>
      </c>
      <c r="C94">
        <v>0</v>
      </c>
      <c r="D94">
        <v>0</v>
      </c>
      <c r="E94">
        <v>0</v>
      </c>
      <c r="F94">
        <v>0</v>
      </c>
      <c r="G94" t="str">
        <v/>
      </c>
    </row>
    <row r="95" spans="2:7" x14ac:dyDescent="0.25">
      <c r="B95" t="str">
        <v/>
      </c>
      <c r="C95">
        <v>0</v>
      </c>
      <c r="D95">
        <v>0</v>
      </c>
      <c r="E95">
        <v>0</v>
      </c>
      <c r="F95">
        <v>0</v>
      </c>
      <c r="G95" t="str">
        <v/>
      </c>
    </row>
    <row r="96" spans="2:7" x14ac:dyDescent="0.25">
      <c r="B96" t="str">
        <v/>
      </c>
      <c r="C96">
        <v>0</v>
      </c>
      <c r="D96">
        <v>0</v>
      </c>
      <c r="E96">
        <v>0</v>
      </c>
      <c r="F96">
        <v>0</v>
      </c>
      <c r="G96" t="str">
        <v/>
      </c>
    </row>
    <row r="97" spans="2:7" x14ac:dyDescent="0.25">
      <c r="B97" t="str">
        <v/>
      </c>
      <c r="C97">
        <v>0</v>
      </c>
      <c r="D97">
        <v>0</v>
      </c>
      <c r="E97">
        <v>0</v>
      </c>
      <c r="F97">
        <v>0</v>
      </c>
      <c r="G97" t="str">
        <v/>
      </c>
    </row>
    <row r="98" spans="2:7" x14ac:dyDescent="0.25">
      <c r="B98" t="str">
        <v/>
      </c>
      <c r="C98">
        <v>0</v>
      </c>
      <c r="D98">
        <v>0</v>
      </c>
      <c r="E98">
        <v>0</v>
      </c>
      <c r="F98">
        <v>0</v>
      </c>
      <c r="G98" t="str">
        <v/>
      </c>
    </row>
    <row r="99" spans="2:7" x14ac:dyDescent="0.25">
      <c r="B99" t="str">
        <v/>
      </c>
      <c r="C99">
        <v>0</v>
      </c>
      <c r="D99">
        <v>0</v>
      </c>
      <c r="E99">
        <v>0</v>
      </c>
      <c r="F99">
        <v>0</v>
      </c>
      <c r="G99" t="str">
        <v/>
      </c>
    </row>
    <row r="100" spans="2:7" x14ac:dyDescent="0.25">
      <c r="B100" t="str">
        <v/>
      </c>
      <c r="C100">
        <v>0</v>
      </c>
      <c r="D100">
        <v>0</v>
      </c>
      <c r="E100">
        <v>0</v>
      </c>
      <c r="F100">
        <v>0</v>
      </c>
      <c r="G100" t="str">
        <v/>
      </c>
    </row>
    <row r="101" spans="2:7" x14ac:dyDescent="0.25">
      <c r="B101" t="str">
        <v/>
      </c>
      <c r="C101">
        <v>0</v>
      </c>
      <c r="D101">
        <v>0</v>
      </c>
      <c r="E101">
        <v>0</v>
      </c>
      <c r="F101">
        <v>0</v>
      </c>
      <c r="G101" t="str">
        <v/>
      </c>
    </row>
    <row r="102" spans="2:7" x14ac:dyDescent="0.25">
      <c r="B102" t="str">
        <v/>
      </c>
      <c r="C102">
        <v>0</v>
      </c>
      <c r="D102">
        <v>0</v>
      </c>
      <c r="E102">
        <v>0</v>
      </c>
      <c r="F102">
        <v>0</v>
      </c>
      <c r="G102" t="str">
        <v/>
      </c>
    </row>
    <row r="103" spans="2:7" x14ac:dyDescent="0.25">
      <c r="B103" t="str">
        <v/>
      </c>
      <c r="C103">
        <v>0</v>
      </c>
      <c r="D103">
        <v>0</v>
      </c>
      <c r="E103">
        <v>0</v>
      </c>
      <c r="F103">
        <v>0</v>
      </c>
      <c r="G103" t="str">
        <v/>
      </c>
    </row>
    <row r="104" spans="2:7" x14ac:dyDescent="0.25">
      <c r="B104" t="str">
        <v/>
      </c>
      <c r="C104">
        <v>0</v>
      </c>
      <c r="D104">
        <v>0</v>
      </c>
      <c r="E104">
        <v>0</v>
      </c>
      <c r="F104">
        <v>0</v>
      </c>
      <c r="G104" t="str">
        <v/>
      </c>
    </row>
    <row r="105" spans="2:7" x14ac:dyDescent="0.25">
      <c r="B105" t="str">
        <v/>
      </c>
      <c r="C105">
        <v>0</v>
      </c>
      <c r="D105">
        <v>0</v>
      </c>
      <c r="E105">
        <v>0</v>
      </c>
      <c r="F105">
        <v>0</v>
      </c>
      <c r="G105" t="str">
        <v/>
      </c>
    </row>
    <row r="106" spans="2:7" x14ac:dyDescent="0.25">
      <c r="B106" t="str">
        <v/>
      </c>
      <c r="C106">
        <v>0</v>
      </c>
      <c r="D106">
        <v>0</v>
      </c>
      <c r="E106">
        <v>0</v>
      </c>
      <c r="F106">
        <v>0</v>
      </c>
      <c r="G106" t="str">
        <v/>
      </c>
    </row>
    <row r="107" spans="2:7" x14ac:dyDescent="0.25">
      <c r="B107" t="str">
        <v/>
      </c>
      <c r="C107">
        <v>0</v>
      </c>
      <c r="D107">
        <v>0</v>
      </c>
      <c r="E107">
        <v>0</v>
      </c>
      <c r="F107">
        <v>0</v>
      </c>
      <c r="G107" t="str">
        <v/>
      </c>
    </row>
    <row r="108" spans="2:7" x14ac:dyDescent="0.25">
      <c r="B108" t="str">
        <v/>
      </c>
      <c r="C108">
        <v>0</v>
      </c>
      <c r="D108">
        <v>0</v>
      </c>
      <c r="E108">
        <v>0</v>
      </c>
      <c r="F108">
        <v>0</v>
      </c>
      <c r="G108" t="str">
        <v/>
      </c>
    </row>
    <row r="109" spans="2:7" x14ac:dyDescent="0.25">
      <c r="B109" t="str">
        <v/>
      </c>
      <c r="C109">
        <v>0</v>
      </c>
      <c r="D109">
        <v>0</v>
      </c>
      <c r="E109">
        <v>0</v>
      </c>
      <c r="F109">
        <v>0</v>
      </c>
      <c r="G109" t="str">
        <v/>
      </c>
    </row>
    <row r="110" spans="2:7" x14ac:dyDescent="0.25">
      <c r="B110" t="str">
        <v/>
      </c>
      <c r="C110">
        <v>0</v>
      </c>
      <c r="D110">
        <v>0</v>
      </c>
      <c r="E110">
        <v>0</v>
      </c>
      <c r="F110">
        <v>0</v>
      </c>
      <c r="G110" t="str">
        <v/>
      </c>
    </row>
    <row r="111" spans="2:7" x14ac:dyDescent="0.25">
      <c r="B111" t="str">
        <v/>
      </c>
      <c r="C111">
        <v>0</v>
      </c>
      <c r="D111">
        <v>0</v>
      </c>
      <c r="E111">
        <v>0</v>
      </c>
      <c r="F111">
        <v>0</v>
      </c>
      <c r="G111" t="str">
        <v/>
      </c>
    </row>
    <row r="112" spans="2:7" x14ac:dyDescent="0.25">
      <c r="B112" t="str">
        <v/>
      </c>
      <c r="C112">
        <v>0</v>
      </c>
      <c r="D112">
        <v>0</v>
      </c>
      <c r="E112">
        <v>0</v>
      </c>
      <c r="F112">
        <v>0</v>
      </c>
      <c r="G112" t="str">
        <v/>
      </c>
    </row>
    <row r="113" spans="2:7" x14ac:dyDescent="0.25">
      <c r="B113" t="str">
        <v/>
      </c>
      <c r="C113">
        <v>0</v>
      </c>
      <c r="D113">
        <v>0</v>
      </c>
      <c r="E113">
        <v>0</v>
      </c>
      <c r="F113">
        <v>0</v>
      </c>
      <c r="G113" t="str">
        <v/>
      </c>
    </row>
    <row r="114" spans="2:7" x14ac:dyDescent="0.25">
      <c r="B114" t="str">
        <v/>
      </c>
      <c r="C114">
        <v>0</v>
      </c>
      <c r="D114">
        <v>0</v>
      </c>
      <c r="E114">
        <v>0</v>
      </c>
      <c r="F114">
        <v>0</v>
      </c>
      <c r="G114" t="str">
        <v/>
      </c>
    </row>
    <row r="115" spans="2:7" x14ac:dyDescent="0.25">
      <c r="B115" t="str">
        <v/>
      </c>
      <c r="C115">
        <v>0</v>
      </c>
      <c r="D115">
        <v>0</v>
      </c>
      <c r="E115">
        <v>0</v>
      </c>
      <c r="F115">
        <v>0</v>
      </c>
      <c r="G115" t="str">
        <v/>
      </c>
    </row>
    <row r="116" spans="2:7" x14ac:dyDescent="0.25">
      <c r="B116" t="str">
        <v/>
      </c>
      <c r="C116">
        <v>0</v>
      </c>
      <c r="D116">
        <v>0</v>
      </c>
      <c r="E116">
        <v>0</v>
      </c>
      <c r="F116">
        <v>0</v>
      </c>
      <c r="G116" t="str">
        <v/>
      </c>
    </row>
    <row r="117" spans="2:7" x14ac:dyDescent="0.25">
      <c r="B117" t="str">
        <v/>
      </c>
      <c r="C117">
        <v>0</v>
      </c>
      <c r="D117">
        <v>0</v>
      </c>
      <c r="E117">
        <v>0</v>
      </c>
      <c r="F117">
        <v>0</v>
      </c>
      <c r="G117" t="str">
        <v/>
      </c>
    </row>
    <row r="118" spans="2:7" x14ac:dyDescent="0.25">
      <c r="B118" t="str">
        <v/>
      </c>
      <c r="C118">
        <v>0</v>
      </c>
      <c r="D118">
        <v>0</v>
      </c>
      <c r="E118">
        <v>0</v>
      </c>
      <c r="F118">
        <v>0</v>
      </c>
      <c r="G118" t="str">
        <v/>
      </c>
    </row>
    <row r="119" spans="2:7" x14ac:dyDescent="0.25">
      <c r="B119" t="str">
        <v/>
      </c>
      <c r="C119">
        <v>0</v>
      </c>
      <c r="D119">
        <v>0</v>
      </c>
      <c r="E119">
        <v>0</v>
      </c>
      <c r="F119">
        <v>0</v>
      </c>
      <c r="G119" t="str">
        <v/>
      </c>
    </row>
    <row r="120" spans="2:7" x14ac:dyDescent="0.25">
      <c r="B120" t="str">
        <v/>
      </c>
      <c r="C120">
        <v>0</v>
      </c>
      <c r="D120">
        <v>0</v>
      </c>
      <c r="E120">
        <v>0</v>
      </c>
      <c r="F120">
        <v>0</v>
      </c>
      <c r="G120" t="str">
        <v/>
      </c>
    </row>
    <row r="121" spans="2:7" x14ac:dyDescent="0.25">
      <c r="B121" t="str">
        <v/>
      </c>
      <c r="C121">
        <v>0</v>
      </c>
      <c r="D121">
        <v>0</v>
      </c>
      <c r="E121">
        <v>0</v>
      </c>
      <c r="F121">
        <v>0</v>
      </c>
      <c r="G121" t="str">
        <v/>
      </c>
    </row>
    <row r="122" spans="2:7" x14ac:dyDescent="0.25">
      <c r="B122" t="str">
        <v/>
      </c>
      <c r="C122">
        <v>0</v>
      </c>
      <c r="D122">
        <v>0</v>
      </c>
      <c r="E122">
        <v>0</v>
      </c>
      <c r="F122">
        <v>0</v>
      </c>
      <c r="G122" t="str">
        <v/>
      </c>
    </row>
    <row r="123" spans="2:7" x14ac:dyDescent="0.25">
      <c r="B123" t="str">
        <v/>
      </c>
      <c r="C123">
        <v>0</v>
      </c>
      <c r="D123">
        <v>0</v>
      </c>
      <c r="E123">
        <v>0</v>
      </c>
      <c r="F123">
        <v>0</v>
      </c>
      <c r="G123" t="str">
        <v/>
      </c>
    </row>
    <row r="124" spans="2:7" x14ac:dyDescent="0.25">
      <c r="B124" t="str">
        <v/>
      </c>
      <c r="C124">
        <v>0</v>
      </c>
      <c r="D124">
        <v>0</v>
      </c>
      <c r="E124">
        <v>0</v>
      </c>
      <c r="F124">
        <v>0</v>
      </c>
      <c r="G124" t="str">
        <v/>
      </c>
    </row>
    <row r="125" spans="2:7" x14ac:dyDescent="0.25">
      <c r="B125" t="str">
        <v/>
      </c>
      <c r="C125">
        <v>0</v>
      </c>
      <c r="D125">
        <v>0</v>
      </c>
      <c r="E125">
        <v>0</v>
      </c>
      <c r="F125">
        <v>0</v>
      </c>
      <c r="G125" t="str">
        <v/>
      </c>
    </row>
    <row r="126" spans="2:7" x14ac:dyDescent="0.25">
      <c r="B126" t="str">
        <v/>
      </c>
      <c r="C126">
        <v>0</v>
      </c>
      <c r="D126">
        <v>0</v>
      </c>
      <c r="E126">
        <v>0</v>
      </c>
      <c r="F126">
        <v>0</v>
      </c>
      <c r="G126" t="str">
        <v/>
      </c>
    </row>
    <row r="127" spans="2:7" x14ac:dyDescent="0.25">
      <c r="B127" t="str">
        <v/>
      </c>
      <c r="C127">
        <v>0</v>
      </c>
      <c r="D127">
        <v>0</v>
      </c>
      <c r="E127">
        <v>0</v>
      </c>
      <c r="F127">
        <v>0</v>
      </c>
      <c r="G127" t="str">
        <v/>
      </c>
    </row>
    <row r="128" spans="2:7" x14ac:dyDescent="0.25">
      <c r="B128" t="str">
        <v/>
      </c>
      <c r="C128">
        <v>0</v>
      </c>
      <c r="D128">
        <v>0</v>
      </c>
      <c r="E128">
        <v>0</v>
      </c>
      <c r="F128">
        <v>0</v>
      </c>
      <c r="G128" t="str">
        <v/>
      </c>
    </row>
    <row r="129" spans="2:7" x14ac:dyDescent="0.25">
      <c r="B129" t="str">
        <v/>
      </c>
      <c r="C129">
        <v>0</v>
      </c>
      <c r="D129">
        <v>0</v>
      </c>
      <c r="E129">
        <v>0</v>
      </c>
      <c r="F129">
        <v>0</v>
      </c>
      <c r="G129" t="str">
        <v/>
      </c>
    </row>
    <row r="130" spans="2:7" x14ac:dyDescent="0.25">
      <c r="B130" t="str">
        <v/>
      </c>
      <c r="C130">
        <v>0</v>
      </c>
      <c r="D130">
        <v>0</v>
      </c>
      <c r="E130">
        <v>0</v>
      </c>
      <c r="F130">
        <v>0</v>
      </c>
      <c r="G130" t="str">
        <v/>
      </c>
    </row>
    <row r="131" spans="2:7" x14ac:dyDescent="0.25">
      <c r="B131" t="str">
        <v/>
      </c>
      <c r="C131">
        <v>0</v>
      </c>
      <c r="D131">
        <v>0</v>
      </c>
      <c r="E131">
        <v>0</v>
      </c>
      <c r="F131">
        <v>0</v>
      </c>
      <c r="G131" t="str">
        <v/>
      </c>
    </row>
    <row r="132" spans="2:7" x14ac:dyDescent="0.25">
      <c r="B132" t="str">
        <v/>
      </c>
      <c r="C132">
        <v>0</v>
      </c>
      <c r="D132">
        <v>0</v>
      </c>
      <c r="E132">
        <v>0</v>
      </c>
      <c r="F132">
        <v>0</v>
      </c>
      <c r="G132" t="str">
        <v/>
      </c>
    </row>
    <row r="133" spans="2:7" x14ac:dyDescent="0.25">
      <c r="B133" t="str">
        <v/>
      </c>
      <c r="C133">
        <v>0</v>
      </c>
      <c r="D133">
        <v>0</v>
      </c>
      <c r="E133">
        <v>0</v>
      </c>
      <c r="F133">
        <v>0</v>
      </c>
      <c r="G133" t="str">
        <v/>
      </c>
    </row>
    <row r="134" spans="2:7" x14ac:dyDescent="0.25">
      <c r="B134" t="str">
        <v/>
      </c>
      <c r="C134">
        <v>0</v>
      </c>
      <c r="D134">
        <v>0</v>
      </c>
      <c r="E134">
        <v>0</v>
      </c>
      <c r="F134">
        <v>0</v>
      </c>
      <c r="G134" t="str">
        <v/>
      </c>
    </row>
    <row r="135" spans="2:7" x14ac:dyDescent="0.25">
      <c r="B135" t="str">
        <v/>
      </c>
      <c r="C135">
        <v>0</v>
      </c>
      <c r="D135">
        <v>0</v>
      </c>
      <c r="E135">
        <v>0</v>
      </c>
      <c r="F135">
        <v>0</v>
      </c>
      <c r="G135" t="str">
        <v/>
      </c>
    </row>
    <row r="136" spans="2:7" x14ac:dyDescent="0.25">
      <c r="B136" t="str">
        <v/>
      </c>
      <c r="C136">
        <v>0</v>
      </c>
      <c r="D136">
        <v>0</v>
      </c>
      <c r="E136">
        <v>0</v>
      </c>
      <c r="F136">
        <v>0</v>
      </c>
      <c r="G136" t="str">
        <v/>
      </c>
    </row>
    <row r="137" spans="2:7" x14ac:dyDescent="0.25">
      <c r="B137" t="str">
        <v/>
      </c>
      <c r="C137">
        <v>0</v>
      </c>
      <c r="D137">
        <v>0</v>
      </c>
      <c r="E137">
        <v>0</v>
      </c>
      <c r="F137">
        <v>0</v>
      </c>
      <c r="G137" t="str">
        <v/>
      </c>
    </row>
    <row r="138" spans="2:7" x14ac:dyDescent="0.25">
      <c r="B138" t="str">
        <v/>
      </c>
      <c r="C138">
        <v>0</v>
      </c>
      <c r="D138">
        <v>0</v>
      </c>
      <c r="E138">
        <v>0</v>
      </c>
      <c r="F138">
        <v>0</v>
      </c>
      <c r="G138" t="str">
        <v/>
      </c>
    </row>
    <row r="139" spans="2:7" x14ac:dyDescent="0.25">
      <c r="B139" t="str">
        <v/>
      </c>
      <c r="C139">
        <v>0</v>
      </c>
      <c r="D139">
        <v>0</v>
      </c>
      <c r="E139">
        <v>0</v>
      </c>
      <c r="F139">
        <v>0</v>
      </c>
      <c r="G139" t="str">
        <v/>
      </c>
    </row>
    <row r="140" spans="2:7" x14ac:dyDescent="0.25">
      <c r="B140" t="str">
        <v/>
      </c>
      <c r="C140">
        <v>0</v>
      </c>
      <c r="D140">
        <v>0</v>
      </c>
      <c r="E140">
        <v>0</v>
      </c>
      <c r="F140">
        <v>0</v>
      </c>
      <c r="G140" t="str">
        <v/>
      </c>
    </row>
    <row r="141" spans="2:7" x14ac:dyDescent="0.25">
      <c r="B141" t="str">
        <v/>
      </c>
      <c r="C141">
        <v>0</v>
      </c>
      <c r="D141">
        <v>0</v>
      </c>
      <c r="E141">
        <v>0</v>
      </c>
      <c r="F141">
        <v>0</v>
      </c>
      <c r="G141" t="str">
        <v/>
      </c>
    </row>
    <row r="142" spans="2:7" x14ac:dyDescent="0.25">
      <c r="B142" t="str">
        <v/>
      </c>
      <c r="C142">
        <v>0</v>
      </c>
      <c r="D142">
        <v>0</v>
      </c>
      <c r="E142">
        <v>0</v>
      </c>
      <c r="F142">
        <v>0</v>
      </c>
      <c r="G142" t="str">
        <v/>
      </c>
    </row>
    <row r="143" spans="2:7" x14ac:dyDescent="0.25">
      <c r="B143" t="str">
        <v/>
      </c>
      <c r="C143">
        <v>0</v>
      </c>
      <c r="D143">
        <v>0</v>
      </c>
      <c r="E143">
        <v>0</v>
      </c>
      <c r="F143">
        <v>0</v>
      </c>
      <c r="G143" t="str">
        <v/>
      </c>
    </row>
    <row r="144" spans="2:7" x14ac:dyDescent="0.25">
      <c r="B144" t="str">
        <v/>
      </c>
      <c r="C144">
        <v>0</v>
      </c>
      <c r="D144">
        <v>0</v>
      </c>
      <c r="E144">
        <v>0</v>
      </c>
      <c r="F144">
        <v>0</v>
      </c>
      <c r="G144" t="str">
        <v/>
      </c>
    </row>
    <row r="145" spans="2:7" x14ac:dyDescent="0.25">
      <c r="B145" t="str">
        <v/>
      </c>
      <c r="C145">
        <v>0</v>
      </c>
      <c r="D145">
        <v>0</v>
      </c>
      <c r="E145">
        <v>0</v>
      </c>
      <c r="F145">
        <v>0</v>
      </c>
      <c r="G145" t="str">
        <v/>
      </c>
    </row>
    <row r="146" spans="2:7" x14ac:dyDescent="0.25">
      <c r="B146" t="str">
        <v/>
      </c>
      <c r="C146">
        <v>0</v>
      </c>
      <c r="D146">
        <v>0</v>
      </c>
      <c r="E146">
        <v>0</v>
      </c>
      <c r="F146">
        <v>0</v>
      </c>
      <c r="G146" t="str">
        <v/>
      </c>
    </row>
    <row r="147" spans="2:7" x14ac:dyDescent="0.25">
      <c r="B147" t="str">
        <v/>
      </c>
      <c r="C147">
        <v>0</v>
      </c>
      <c r="D147">
        <v>0</v>
      </c>
      <c r="E147">
        <v>0</v>
      </c>
      <c r="F147">
        <v>0</v>
      </c>
      <c r="G147" t="str">
        <v/>
      </c>
    </row>
    <row r="148" spans="2:7" x14ac:dyDescent="0.25">
      <c r="B148" t="str">
        <v/>
      </c>
      <c r="C148">
        <v>0</v>
      </c>
      <c r="D148">
        <v>0</v>
      </c>
      <c r="E148">
        <v>0</v>
      </c>
      <c r="F148">
        <v>0</v>
      </c>
      <c r="G148" t="str">
        <v/>
      </c>
    </row>
    <row r="149" spans="2:7" x14ac:dyDescent="0.25">
      <c r="B149" t="str">
        <v/>
      </c>
      <c r="C149">
        <v>0</v>
      </c>
      <c r="D149">
        <v>0</v>
      </c>
      <c r="E149">
        <v>0</v>
      </c>
      <c r="F149">
        <v>0</v>
      </c>
      <c r="G149" t="str">
        <v/>
      </c>
    </row>
    <row r="150" spans="2:7" x14ac:dyDescent="0.25">
      <c r="B150" t="str">
        <v/>
      </c>
      <c r="C150">
        <v>0</v>
      </c>
      <c r="D150">
        <v>0</v>
      </c>
      <c r="E150">
        <v>0</v>
      </c>
      <c r="F150">
        <v>0</v>
      </c>
      <c r="G150" t="str">
        <v/>
      </c>
    </row>
    <row r="151" spans="2:7" x14ac:dyDescent="0.25">
      <c r="B151" t="str">
        <v/>
      </c>
      <c r="C151">
        <v>0</v>
      </c>
      <c r="D151">
        <v>0</v>
      </c>
      <c r="E151">
        <v>0</v>
      </c>
      <c r="F151">
        <v>0</v>
      </c>
      <c r="G151" t="str">
        <v/>
      </c>
    </row>
    <row r="152" spans="2:7" x14ac:dyDescent="0.25">
      <c r="B152" t="str">
        <v/>
      </c>
      <c r="C152">
        <v>0</v>
      </c>
      <c r="D152">
        <v>0</v>
      </c>
      <c r="E152">
        <v>0</v>
      </c>
      <c r="F152">
        <v>0</v>
      </c>
      <c r="G152" t="str">
        <v/>
      </c>
    </row>
    <row r="153" spans="2:7" x14ac:dyDescent="0.25">
      <c r="B153" t="str">
        <v/>
      </c>
      <c r="C153">
        <v>0</v>
      </c>
      <c r="D153">
        <v>0</v>
      </c>
      <c r="E153">
        <v>0</v>
      </c>
      <c r="F153">
        <v>0</v>
      </c>
      <c r="G153" t="str">
        <v/>
      </c>
    </row>
    <row r="154" spans="2:7" x14ac:dyDescent="0.25">
      <c r="B154" t="str">
        <v/>
      </c>
      <c r="C154">
        <v>0</v>
      </c>
      <c r="D154">
        <v>0</v>
      </c>
      <c r="E154">
        <v>0</v>
      </c>
      <c r="F154">
        <v>0</v>
      </c>
      <c r="G154" t="str">
        <v/>
      </c>
    </row>
    <row r="155" spans="2:7" x14ac:dyDescent="0.25">
      <c r="B155" t="str">
        <v/>
      </c>
      <c r="C155">
        <v>0</v>
      </c>
      <c r="D155">
        <v>0</v>
      </c>
      <c r="E155">
        <v>0</v>
      </c>
      <c r="F155">
        <v>0</v>
      </c>
      <c r="G155" t="str">
        <v/>
      </c>
    </row>
    <row r="156" spans="2:7" x14ac:dyDescent="0.25">
      <c r="B156" t="str">
        <v/>
      </c>
      <c r="C156">
        <v>0</v>
      </c>
      <c r="D156">
        <v>0</v>
      </c>
      <c r="E156">
        <v>0</v>
      </c>
      <c r="F156">
        <v>0</v>
      </c>
      <c r="G156" t="str">
        <v/>
      </c>
    </row>
    <row r="157" spans="2:7" x14ac:dyDescent="0.25">
      <c r="B157" t="str">
        <v/>
      </c>
      <c r="C157">
        <v>0</v>
      </c>
      <c r="D157">
        <v>0</v>
      </c>
      <c r="E157">
        <v>0</v>
      </c>
      <c r="F157">
        <v>0</v>
      </c>
      <c r="G157" t="str">
        <v/>
      </c>
    </row>
    <row r="158" spans="2:7" x14ac:dyDescent="0.25">
      <c r="B158" t="str">
        <v/>
      </c>
      <c r="C158">
        <v>0</v>
      </c>
      <c r="D158">
        <v>0</v>
      </c>
      <c r="E158">
        <v>0</v>
      </c>
      <c r="F158">
        <v>0</v>
      </c>
      <c r="G158" t="str">
        <v/>
      </c>
    </row>
    <row r="159" spans="2:7" x14ac:dyDescent="0.25">
      <c r="B159" t="str">
        <v/>
      </c>
      <c r="C159">
        <v>0</v>
      </c>
      <c r="D159">
        <v>0</v>
      </c>
      <c r="E159">
        <v>0</v>
      </c>
      <c r="F159">
        <v>0</v>
      </c>
      <c r="G159" t="str">
        <v/>
      </c>
    </row>
    <row r="160" spans="2:7" x14ac:dyDescent="0.25">
      <c r="B160" t="str">
        <v/>
      </c>
      <c r="C160">
        <v>0</v>
      </c>
      <c r="D160">
        <v>0</v>
      </c>
      <c r="E160">
        <v>0</v>
      </c>
      <c r="F160">
        <v>0</v>
      </c>
      <c r="G160" t="str">
        <v/>
      </c>
    </row>
    <row r="161" spans="2:7" x14ac:dyDescent="0.25">
      <c r="B161" t="str">
        <v/>
      </c>
      <c r="C161">
        <v>0</v>
      </c>
      <c r="D161">
        <v>0</v>
      </c>
      <c r="E161">
        <v>0</v>
      </c>
      <c r="F161">
        <v>0</v>
      </c>
      <c r="G161" t="str">
        <v/>
      </c>
    </row>
    <row r="162" spans="2:7" x14ac:dyDescent="0.25">
      <c r="B162" t="str">
        <v/>
      </c>
      <c r="C162">
        <v>0</v>
      </c>
      <c r="D162">
        <v>0</v>
      </c>
      <c r="E162">
        <v>0</v>
      </c>
      <c r="F162">
        <v>0</v>
      </c>
      <c r="G162" t="str">
        <v/>
      </c>
    </row>
    <row r="163" spans="2:7" x14ac:dyDescent="0.25">
      <c r="B163" t="str">
        <v/>
      </c>
      <c r="C163">
        <v>0</v>
      </c>
      <c r="D163">
        <v>0</v>
      </c>
      <c r="E163">
        <v>0</v>
      </c>
      <c r="F163">
        <v>0</v>
      </c>
      <c r="G163" t="str">
        <v/>
      </c>
    </row>
    <row r="164" spans="2:7" x14ac:dyDescent="0.25">
      <c r="B164" t="str">
        <v/>
      </c>
      <c r="C164">
        <v>0</v>
      </c>
      <c r="D164">
        <v>0</v>
      </c>
      <c r="E164">
        <v>0</v>
      </c>
      <c r="F164">
        <v>0</v>
      </c>
      <c r="G164" t="str">
        <v/>
      </c>
    </row>
    <row r="165" spans="2:7" x14ac:dyDescent="0.25">
      <c r="B165" t="str">
        <v/>
      </c>
      <c r="C165">
        <v>0</v>
      </c>
      <c r="D165">
        <v>0</v>
      </c>
      <c r="E165">
        <v>0</v>
      </c>
      <c r="F165">
        <v>0</v>
      </c>
      <c r="G165" t="str">
        <v/>
      </c>
    </row>
    <row r="166" spans="2:7" x14ac:dyDescent="0.25">
      <c r="B166" t="str">
        <v/>
      </c>
      <c r="C166">
        <v>0</v>
      </c>
      <c r="D166">
        <v>0</v>
      </c>
      <c r="E166">
        <v>0</v>
      </c>
      <c r="F166">
        <v>0</v>
      </c>
      <c r="G166" t="str">
        <v/>
      </c>
    </row>
    <row r="167" spans="2:7" x14ac:dyDescent="0.25">
      <c r="B167" t="str">
        <v/>
      </c>
      <c r="C167">
        <v>0</v>
      </c>
      <c r="D167">
        <v>0</v>
      </c>
      <c r="E167">
        <v>0</v>
      </c>
      <c r="F167">
        <v>0</v>
      </c>
      <c r="G167" t="str">
        <v/>
      </c>
    </row>
    <row r="168" spans="2:7" x14ac:dyDescent="0.25">
      <c r="B168" t="str">
        <v/>
      </c>
      <c r="C168">
        <v>0</v>
      </c>
      <c r="D168">
        <v>0</v>
      </c>
      <c r="E168">
        <v>0</v>
      </c>
      <c r="F168">
        <v>0</v>
      </c>
      <c r="G168" t="str">
        <v/>
      </c>
    </row>
    <row r="169" spans="2:7" x14ac:dyDescent="0.25">
      <c r="B169" t="str">
        <v/>
      </c>
      <c r="C169">
        <v>0</v>
      </c>
      <c r="D169">
        <v>0</v>
      </c>
      <c r="E169">
        <v>0</v>
      </c>
      <c r="F169">
        <v>0</v>
      </c>
      <c r="G169" t="str">
        <v/>
      </c>
    </row>
    <row r="170" spans="2:7" x14ac:dyDescent="0.25">
      <c r="B170" t="str">
        <v/>
      </c>
      <c r="C170">
        <v>0</v>
      </c>
      <c r="D170">
        <v>0</v>
      </c>
      <c r="E170">
        <v>0</v>
      </c>
      <c r="F170">
        <v>0</v>
      </c>
      <c r="G170" t="str">
        <v/>
      </c>
    </row>
    <row r="171" spans="2:7" x14ac:dyDescent="0.25">
      <c r="B171" t="str">
        <v/>
      </c>
      <c r="C171">
        <v>0</v>
      </c>
      <c r="D171">
        <v>0</v>
      </c>
      <c r="E171">
        <v>0</v>
      </c>
      <c r="F171">
        <v>0</v>
      </c>
      <c r="G171" t="str">
        <v/>
      </c>
    </row>
    <row r="172" spans="2:7" x14ac:dyDescent="0.25">
      <c r="B172" t="str">
        <v/>
      </c>
      <c r="C172">
        <v>0</v>
      </c>
      <c r="D172">
        <v>0</v>
      </c>
      <c r="E172">
        <v>0</v>
      </c>
      <c r="F172">
        <v>0</v>
      </c>
      <c r="G172" t="str">
        <v/>
      </c>
    </row>
    <row r="173" spans="2:7" x14ac:dyDescent="0.25">
      <c r="B173" t="str">
        <v/>
      </c>
      <c r="C173">
        <v>0</v>
      </c>
      <c r="D173">
        <v>0</v>
      </c>
      <c r="E173">
        <v>0</v>
      </c>
      <c r="F173">
        <v>0</v>
      </c>
      <c r="G173" t="str">
        <v/>
      </c>
    </row>
    <row r="174" spans="2:7" x14ac:dyDescent="0.25">
      <c r="B174" t="str">
        <v/>
      </c>
      <c r="C174">
        <v>0</v>
      </c>
      <c r="D174">
        <v>0</v>
      </c>
      <c r="E174">
        <v>0</v>
      </c>
      <c r="F174">
        <v>0</v>
      </c>
      <c r="G174" t="str">
        <v/>
      </c>
    </row>
    <row r="175" spans="2:7" x14ac:dyDescent="0.25">
      <c r="B175" t="str">
        <v/>
      </c>
      <c r="C175">
        <v>0</v>
      </c>
      <c r="D175">
        <v>0</v>
      </c>
      <c r="E175">
        <v>0</v>
      </c>
      <c r="F175">
        <v>0</v>
      </c>
      <c r="G175" t="str">
        <v/>
      </c>
    </row>
    <row r="176" spans="2:7" x14ac:dyDescent="0.25">
      <c r="B176" t="str">
        <v/>
      </c>
      <c r="C176">
        <v>0</v>
      </c>
      <c r="D176">
        <v>0</v>
      </c>
      <c r="E176">
        <v>0</v>
      </c>
      <c r="F176">
        <v>0</v>
      </c>
      <c r="G176" t="str">
        <v/>
      </c>
    </row>
    <row r="177" spans="2:7" x14ac:dyDescent="0.25">
      <c r="B177" t="str">
        <v/>
      </c>
      <c r="C177">
        <v>0</v>
      </c>
      <c r="D177">
        <v>0</v>
      </c>
      <c r="E177">
        <v>0</v>
      </c>
      <c r="F177">
        <v>0</v>
      </c>
      <c r="G177" t="str">
        <v/>
      </c>
    </row>
    <row r="178" spans="2:7" x14ac:dyDescent="0.25">
      <c r="B178" t="str">
        <v/>
      </c>
      <c r="C178">
        <v>0</v>
      </c>
      <c r="D178">
        <v>0</v>
      </c>
      <c r="E178">
        <v>0</v>
      </c>
      <c r="F178">
        <v>0</v>
      </c>
      <c r="G178" t="str">
        <v/>
      </c>
    </row>
    <row r="179" spans="2:7" x14ac:dyDescent="0.25">
      <c r="B179" t="str">
        <v/>
      </c>
      <c r="C179">
        <v>0</v>
      </c>
      <c r="D179">
        <v>0</v>
      </c>
      <c r="E179">
        <v>0</v>
      </c>
      <c r="F179">
        <v>0</v>
      </c>
      <c r="G179" t="str">
        <v/>
      </c>
    </row>
    <row r="180" spans="2:7" x14ac:dyDescent="0.25">
      <c r="B180" t="str">
        <v/>
      </c>
      <c r="C180">
        <v>0</v>
      </c>
      <c r="D180">
        <v>0</v>
      </c>
      <c r="E180">
        <v>0</v>
      </c>
      <c r="F180">
        <v>0</v>
      </c>
      <c r="G180" t="str">
        <v/>
      </c>
    </row>
    <row r="181" spans="2:7" x14ac:dyDescent="0.25">
      <c r="B181" t="str">
        <v/>
      </c>
      <c r="C181">
        <v>0</v>
      </c>
      <c r="D181">
        <v>0</v>
      </c>
      <c r="E181">
        <v>0</v>
      </c>
      <c r="F181">
        <v>0</v>
      </c>
      <c r="G181" t="str">
        <v/>
      </c>
    </row>
    <row r="182" spans="2:7" x14ac:dyDescent="0.25">
      <c r="B182" t="str">
        <v/>
      </c>
      <c r="C182">
        <v>0</v>
      </c>
      <c r="D182">
        <v>0</v>
      </c>
      <c r="E182">
        <v>0</v>
      </c>
      <c r="F182">
        <v>0</v>
      </c>
      <c r="G182" t="str">
        <v/>
      </c>
    </row>
    <row r="183" spans="2:7" x14ac:dyDescent="0.25">
      <c r="B183" t="str">
        <v/>
      </c>
      <c r="C183">
        <v>0</v>
      </c>
      <c r="D183">
        <v>0</v>
      </c>
      <c r="E183">
        <v>0</v>
      </c>
      <c r="F183">
        <v>0</v>
      </c>
      <c r="G183" t="str">
        <v/>
      </c>
    </row>
    <row r="184" spans="2:7" x14ac:dyDescent="0.25">
      <c r="B184" t="str">
        <v/>
      </c>
      <c r="C184">
        <v>0</v>
      </c>
      <c r="D184">
        <v>0</v>
      </c>
      <c r="E184">
        <v>0</v>
      </c>
      <c r="F184">
        <v>0</v>
      </c>
      <c r="G184" t="str">
        <v/>
      </c>
    </row>
    <row r="185" spans="2:7" x14ac:dyDescent="0.25">
      <c r="B185" t="str">
        <v/>
      </c>
      <c r="C185">
        <v>0</v>
      </c>
      <c r="D185">
        <v>0</v>
      </c>
      <c r="E185">
        <v>0</v>
      </c>
      <c r="F185">
        <v>0</v>
      </c>
      <c r="G185" t="str">
        <v/>
      </c>
    </row>
    <row r="186" spans="2:7" x14ac:dyDescent="0.25">
      <c r="B186" t="str">
        <v/>
      </c>
      <c r="C186">
        <v>0</v>
      </c>
      <c r="D186">
        <v>0</v>
      </c>
      <c r="E186">
        <v>0</v>
      </c>
      <c r="F186">
        <v>0</v>
      </c>
      <c r="G186" t="str">
        <v/>
      </c>
    </row>
    <row r="187" spans="2:7" x14ac:dyDescent="0.25">
      <c r="B187" t="str">
        <v/>
      </c>
      <c r="C187">
        <v>0</v>
      </c>
      <c r="D187">
        <v>0</v>
      </c>
      <c r="E187">
        <v>0</v>
      </c>
      <c r="F187">
        <v>0</v>
      </c>
      <c r="G187" t="str">
        <v/>
      </c>
    </row>
    <row r="188" spans="2:7" x14ac:dyDescent="0.25">
      <c r="B188" t="str">
        <v/>
      </c>
      <c r="C188">
        <v>0</v>
      </c>
      <c r="D188">
        <v>0</v>
      </c>
      <c r="E188">
        <v>0</v>
      </c>
      <c r="F188">
        <v>0</v>
      </c>
      <c r="G188" t="str">
        <v/>
      </c>
    </row>
    <row r="189" spans="2:7" x14ac:dyDescent="0.25">
      <c r="B189" t="str">
        <v/>
      </c>
      <c r="C189">
        <v>0</v>
      </c>
      <c r="D189">
        <v>0</v>
      </c>
      <c r="E189">
        <v>0</v>
      </c>
      <c r="F189">
        <v>0</v>
      </c>
      <c r="G189" t="str">
        <v/>
      </c>
    </row>
    <row r="190" spans="2:7" x14ac:dyDescent="0.25">
      <c r="B190" t="str">
        <v/>
      </c>
      <c r="C190">
        <v>0</v>
      </c>
      <c r="D190">
        <v>0</v>
      </c>
      <c r="E190">
        <v>0</v>
      </c>
      <c r="F190">
        <v>0</v>
      </c>
      <c r="G190" t="str">
        <v/>
      </c>
    </row>
    <row r="191" spans="2:7" x14ac:dyDescent="0.25">
      <c r="B191" t="str">
        <v/>
      </c>
      <c r="C191">
        <v>0</v>
      </c>
      <c r="D191">
        <v>0</v>
      </c>
      <c r="E191">
        <v>0</v>
      </c>
      <c r="F191">
        <v>0</v>
      </c>
      <c r="G191" t="str">
        <v/>
      </c>
    </row>
    <row r="192" spans="2:7" x14ac:dyDescent="0.25">
      <c r="B192" t="str">
        <v/>
      </c>
      <c r="C192">
        <v>0</v>
      </c>
      <c r="D192">
        <v>0</v>
      </c>
      <c r="E192">
        <v>0</v>
      </c>
      <c r="F192">
        <v>0</v>
      </c>
      <c r="G192" t="str">
        <v/>
      </c>
    </row>
    <row r="193" spans="2:7" x14ac:dyDescent="0.25">
      <c r="B193" t="str">
        <v/>
      </c>
      <c r="C193">
        <v>0</v>
      </c>
      <c r="D193">
        <v>0</v>
      </c>
      <c r="E193">
        <v>0</v>
      </c>
      <c r="F193">
        <v>0</v>
      </c>
      <c r="G193" t="str">
        <v/>
      </c>
    </row>
    <row r="194" spans="2:7" x14ac:dyDescent="0.25">
      <c r="B194" t="str">
        <v/>
      </c>
      <c r="C194">
        <v>0</v>
      </c>
      <c r="D194">
        <v>0</v>
      </c>
      <c r="E194">
        <v>0</v>
      </c>
      <c r="F194">
        <v>0</v>
      </c>
      <c r="G194" t="str">
        <v/>
      </c>
    </row>
    <row r="195" spans="2:7" x14ac:dyDescent="0.25">
      <c r="B195" t="str">
        <v/>
      </c>
      <c r="C195">
        <v>0</v>
      </c>
      <c r="D195">
        <v>0</v>
      </c>
      <c r="E195">
        <v>0</v>
      </c>
      <c r="F195">
        <v>0</v>
      </c>
      <c r="G195" t="str">
        <v/>
      </c>
    </row>
    <row r="196" spans="2:7" x14ac:dyDescent="0.25">
      <c r="B196" t="str">
        <v/>
      </c>
      <c r="C196">
        <v>0</v>
      </c>
      <c r="D196">
        <v>0</v>
      </c>
      <c r="E196">
        <v>0</v>
      </c>
      <c r="F196">
        <v>0</v>
      </c>
      <c r="G196" t="str">
        <v/>
      </c>
    </row>
    <row r="197" spans="2:7" x14ac:dyDescent="0.25">
      <c r="B197" t="str">
        <v/>
      </c>
      <c r="C197">
        <v>0</v>
      </c>
      <c r="D197">
        <v>0</v>
      </c>
      <c r="E197">
        <v>0</v>
      </c>
      <c r="F197">
        <v>0</v>
      </c>
      <c r="G197" t="str">
        <v/>
      </c>
    </row>
    <row r="198" spans="2:7" x14ac:dyDescent="0.25">
      <c r="B198" t="str">
        <v/>
      </c>
      <c r="C198">
        <v>0</v>
      </c>
      <c r="D198">
        <v>0</v>
      </c>
      <c r="E198">
        <v>0</v>
      </c>
      <c r="F198">
        <v>0</v>
      </c>
      <c r="G198" t="str">
        <v/>
      </c>
    </row>
    <row r="199" spans="2:7" x14ac:dyDescent="0.25">
      <c r="B199" t="str">
        <v/>
      </c>
      <c r="C199">
        <v>0</v>
      </c>
      <c r="D199">
        <v>0</v>
      </c>
      <c r="E199">
        <v>0</v>
      </c>
      <c r="F199">
        <v>0</v>
      </c>
      <c r="G199" t="str">
        <v/>
      </c>
    </row>
    <row r="200" spans="2:7" x14ac:dyDescent="0.25">
      <c r="B200" t="str">
        <v/>
      </c>
      <c r="C200">
        <v>0</v>
      </c>
      <c r="D200">
        <v>0</v>
      </c>
      <c r="E200">
        <v>0</v>
      </c>
      <c r="F200">
        <v>0</v>
      </c>
      <c r="G200" t="str">
        <v/>
      </c>
    </row>
    <row r="201" spans="2:7" x14ac:dyDescent="0.25">
      <c r="B201" t="str">
        <v/>
      </c>
      <c r="C201">
        <v>0</v>
      </c>
      <c r="D201">
        <v>0</v>
      </c>
      <c r="E201">
        <v>0</v>
      </c>
      <c r="F201">
        <v>0</v>
      </c>
      <c r="G201" t="str">
        <v/>
      </c>
    </row>
    <row r="202" spans="2:7" x14ac:dyDescent="0.25">
      <c r="B202" t="str">
        <v/>
      </c>
      <c r="C202">
        <v>0</v>
      </c>
      <c r="D202">
        <v>0</v>
      </c>
      <c r="E202">
        <v>0</v>
      </c>
      <c r="F202">
        <v>0</v>
      </c>
      <c r="G202" t="str">
        <v/>
      </c>
    </row>
    <row r="203" spans="2:7" x14ac:dyDescent="0.25">
      <c r="B203" t="str">
        <v/>
      </c>
      <c r="C203">
        <v>0</v>
      </c>
      <c r="D203">
        <v>0</v>
      </c>
      <c r="E203">
        <v>0</v>
      </c>
      <c r="F203">
        <v>0</v>
      </c>
      <c r="G203" t="str">
        <v/>
      </c>
    </row>
    <row r="204" spans="2:7" x14ac:dyDescent="0.25">
      <c r="B204" t="str">
        <v/>
      </c>
      <c r="C204">
        <v>0</v>
      </c>
      <c r="D204">
        <v>0</v>
      </c>
      <c r="E204">
        <v>0</v>
      </c>
      <c r="F204">
        <v>0</v>
      </c>
      <c r="G204" t="str">
        <v/>
      </c>
    </row>
    <row r="205" spans="2:7" x14ac:dyDescent="0.25">
      <c r="B205" t="str">
        <v/>
      </c>
      <c r="C205">
        <v>0</v>
      </c>
      <c r="D205">
        <v>0</v>
      </c>
      <c r="E205">
        <v>0</v>
      </c>
      <c r="F205">
        <v>0</v>
      </c>
      <c r="G205" t="str">
        <v/>
      </c>
    </row>
    <row r="206" spans="2:7" x14ac:dyDescent="0.25">
      <c r="B206" t="str">
        <v/>
      </c>
      <c r="C206">
        <v>0</v>
      </c>
      <c r="D206">
        <v>0</v>
      </c>
      <c r="E206">
        <v>0</v>
      </c>
      <c r="F206">
        <v>0</v>
      </c>
      <c r="G206" t="str">
        <v/>
      </c>
    </row>
    <row r="207" spans="2:7" x14ac:dyDescent="0.25">
      <c r="B207" t="str">
        <v/>
      </c>
      <c r="C207">
        <v>0</v>
      </c>
      <c r="D207">
        <v>0</v>
      </c>
      <c r="E207">
        <v>0</v>
      </c>
      <c r="F207">
        <v>0</v>
      </c>
      <c r="G207" t="str">
        <v/>
      </c>
    </row>
    <row r="208" spans="2:7" x14ac:dyDescent="0.25">
      <c r="B208" t="str">
        <v/>
      </c>
      <c r="C208">
        <v>0</v>
      </c>
      <c r="D208">
        <v>0</v>
      </c>
      <c r="E208">
        <v>0</v>
      </c>
      <c r="F208">
        <v>0</v>
      </c>
      <c r="G208" t="str">
        <v/>
      </c>
    </row>
    <row r="209" spans="2:7" x14ac:dyDescent="0.25">
      <c r="B209" t="str">
        <v/>
      </c>
      <c r="C209">
        <v>0</v>
      </c>
      <c r="D209">
        <v>0</v>
      </c>
      <c r="E209">
        <v>0</v>
      </c>
      <c r="F209">
        <v>0</v>
      </c>
      <c r="G209" t="str">
        <v/>
      </c>
    </row>
    <row r="210" spans="2:7" x14ac:dyDescent="0.25">
      <c r="B210" t="str">
        <v/>
      </c>
      <c r="C210">
        <v>0</v>
      </c>
      <c r="D210">
        <v>0</v>
      </c>
      <c r="E210">
        <v>0</v>
      </c>
      <c r="F210">
        <v>0</v>
      </c>
      <c r="G210" t="str">
        <v/>
      </c>
    </row>
    <row r="211" spans="2:7" x14ac:dyDescent="0.25">
      <c r="B211" t="str">
        <v/>
      </c>
      <c r="C211">
        <v>0</v>
      </c>
      <c r="D211">
        <v>0</v>
      </c>
      <c r="E211">
        <v>0</v>
      </c>
      <c r="F211">
        <v>0</v>
      </c>
      <c r="G211" t="str">
        <v/>
      </c>
    </row>
    <row r="212" spans="2:7" x14ac:dyDescent="0.25">
      <c r="B212" t="str">
        <v/>
      </c>
      <c r="C212">
        <v>0</v>
      </c>
      <c r="D212">
        <v>0</v>
      </c>
      <c r="E212">
        <v>0</v>
      </c>
      <c r="F212">
        <v>0</v>
      </c>
      <c r="G212" t="str">
        <v/>
      </c>
    </row>
    <row r="213" spans="2:7" x14ac:dyDescent="0.25">
      <c r="B213" t="str">
        <v/>
      </c>
      <c r="C213">
        <v>0</v>
      </c>
      <c r="D213">
        <v>0</v>
      </c>
      <c r="E213">
        <v>0</v>
      </c>
      <c r="F213">
        <v>0</v>
      </c>
      <c r="G213" t="str">
        <v/>
      </c>
    </row>
    <row r="214" spans="2:7" x14ac:dyDescent="0.25">
      <c r="B214" t="str">
        <v/>
      </c>
      <c r="C214">
        <v>0</v>
      </c>
      <c r="D214">
        <v>0</v>
      </c>
      <c r="E214">
        <v>0</v>
      </c>
      <c r="F214">
        <v>0</v>
      </c>
      <c r="G214" t="str">
        <v/>
      </c>
    </row>
    <row r="215" spans="2:7" x14ac:dyDescent="0.25">
      <c r="B215" t="str">
        <v/>
      </c>
      <c r="C215">
        <v>0</v>
      </c>
      <c r="D215">
        <v>0</v>
      </c>
      <c r="E215">
        <v>0</v>
      </c>
      <c r="F215">
        <v>0</v>
      </c>
      <c r="G215" t="str">
        <v/>
      </c>
    </row>
    <row r="216" spans="2:7" x14ac:dyDescent="0.25">
      <c r="B216" t="str">
        <v/>
      </c>
      <c r="C216">
        <v>0</v>
      </c>
      <c r="D216">
        <v>0</v>
      </c>
      <c r="E216">
        <v>0</v>
      </c>
      <c r="F216">
        <v>0</v>
      </c>
      <c r="G216" t="str">
        <v/>
      </c>
    </row>
    <row r="217" spans="2:7" x14ac:dyDescent="0.25">
      <c r="B217" t="str">
        <v/>
      </c>
      <c r="C217">
        <v>0</v>
      </c>
      <c r="D217">
        <v>0</v>
      </c>
      <c r="E217">
        <v>0</v>
      </c>
      <c r="F217">
        <v>0</v>
      </c>
      <c r="G217" t="str">
        <v/>
      </c>
    </row>
    <row r="218" spans="2:7" x14ac:dyDescent="0.25">
      <c r="B218" t="str">
        <v/>
      </c>
      <c r="C218">
        <v>0</v>
      </c>
      <c r="D218">
        <v>0</v>
      </c>
      <c r="E218">
        <v>0</v>
      </c>
      <c r="F218">
        <v>0</v>
      </c>
      <c r="G218" t="str">
        <v/>
      </c>
    </row>
    <row r="219" spans="2:7" x14ac:dyDescent="0.25">
      <c r="B219" t="str">
        <v/>
      </c>
      <c r="C219">
        <v>0</v>
      </c>
      <c r="D219">
        <v>0</v>
      </c>
      <c r="E219">
        <v>0</v>
      </c>
      <c r="F219">
        <v>0</v>
      </c>
      <c r="G219" t="str">
        <v/>
      </c>
    </row>
    <row r="220" spans="2:7" x14ac:dyDescent="0.25">
      <c r="B220" t="str">
        <v/>
      </c>
      <c r="C220">
        <v>0</v>
      </c>
      <c r="D220">
        <v>0</v>
      </c>
      <c r="E220">
        <v>0</v>
      </c>
      <c r="F220">
        <v>0</v>
      </c>
      <c r="G220" t="str">
        <v/>
      </c>
    </row>
    <row r="221" spans="2:7" x14ac:dyDescent="0.25">
      <c r="B221" t="str">
        <v/>
      </c>
      <c r="C221">
        <v>0</v>
      </c>
      <c r="D221">
        <v>0</v>
      </c>
      <c r="E221">
        <v>0</v>
      </c>
      <c r="F221">
        <v>0</v>
      </c>
      <c r="G221" t="str">
        <v/>
      </c>
    </row>
    <row r="222" spans="2:7" x14ac:dyDescent="0.25">
      <c r="B222" t="str">
        <v/>
      </c>
      <c r="C222">
        <v>0</v>
      </c>
      <c r="D222">
        <v>0</v>
      </c>
      <c r="E222">
        <v>0</v>
      </c>
      <c r="F222">
        <v>0</v>
      </c>
      <c r="G222" t="str">
        <v/>
      </c>
    </row>
    <row r="223" spans="2:7" x14ac:dyDescent="0.25">
      <c r="B223" t="str">
        <v/>
      </c>
      <c r="C223">
        <v>0</v>
      </c>
      <c r="D223">
        <v>0</v>
      </c>
      <c r="E223">
        <v>0</v>
      </c>
      <c r="F223">
        <v>0</v>
      </c>
      <c r="G223" t="str">
        <v/>
      </c>
    </row>
    <row r="224" spans="2:7" x14ac:dyDescent="0.25">
      <c r="B224" t="str">
        <v/>
      </c>
      <c r="C224">
        <v>0</v>
      </c>
      <c r="D224">
        <v>0</v>
      </c>
      <c r="E224">
        <v>0</v>
      </c>
      <c r="F224">
        <v>0</v>
      </c>
      <c r="G224" t="str">
        <v/>
      </c>
    </row>
    <row r="225" spans="2:7" x14ac:dyDescent="0.25">
      <c r="B225" t="str">
        <v/>
      </c>
      <c r="C225">
        <v>0</v>
      </c>
      <c r="D225">
        <v>0</v>
      </c>
      <c r="E225">
        <v>0</v>
      </c>
      <c r="F225">
        <v>0</v>
      </c>
      <c r="G225" t="str">
        <v/>
      </c>
    </row>
    <row r="226" spans="2:7" x14ac:dyDescent="0.25">
      <c r="B226" t="str">
        <v/>
      </c>
      <c r="C226">
        <v>0</v>
      </c>
      <c r="D226">
        <v>0</v>
      </c>
      <c r="E226">
        <v>0</v>
      </c>
      <c r="F226">
        <v>0</v>
      </c>
      <c r="G226" t="str">
        <v/>
      </c>
    </row>
    <row r="227" spans="2:7" x14ac:dyDescent="0.25">
      <c r="B227" t="str">
        <v/>
      </c>
      <c r="C227">
        <v>0</v>
      </c>
      <c r="D227">
        <v>0</v>
      </c>
      <c r="E227">
        <v>0</v>
      </c>
      <c r="F227">
        <v>0</v>
      </c>
      <c r="G227" t="str">
        <v/>
      </c>
    </row>
    <row r="228" spans="2:7" x14ac:dyDescent="0.25">
      <c r="B228" t="str">
        <v/>
      </c>
      <c r="C228">
        <v>0</v>
      </c>
      <c r="D228">
        <v>0</v>
      </c>
      <c r="E228">
        <v>0</v>
      </c>
      <c r="F228">
        <v>0</v>
      </c>
      <c r="G228" t="str">
        <v/>
      </c>
    </row>
    <row r="229" spans="2:7" x14ac:dyDescent="0.25">
      <c r="B229" t="str">
        <v/>
      </c>
      <c r="C229">
        <v>0</v>
      </c>
      <c r="D229">
        <v>0</v>
      </c>
      <c r="E229">
        <v>0</v>
      </c>
      <c r="F229">
        <v>0</v>
      </c>
      <c r="G229" t="str">
        <v/>
      </c>
    </row>
    <row r="230" spans="2:7" x14ac:dyDescent="0.25">
      <c r="B230" t="str">
        <v/>
      </c>
      <c r="C230">
        <v>0</v>
      </c>
      <c r="D230">
        <v>0</v>
      </c>
      <c r="E230">
        <v>0</v>
      </c>
      <c r="F230">
        <v>0</v>
      </c>
      <c r="G230" t="str">
        <v/>
      </c>
    </row>
    <row r="231" spans="2:7" x14ac:dyDescent="0.25">
      <c r="B231" t="str">
        <v/>
      </c>
      <c r="C231">
        <v>0</v>
      </c>
      <c r="D231">
        <v>0</v>
      </c>
      <c r="E231">
        <v>0</v>
      </c>
      <c r="F231">
        <v>0</v>
      </c>
      <c r="G231" t="str">
        <v/>
      </c>
    </row>
    <row r="232" spans="2:7" x14ac:dyDescent="0.25">
      <c r="B232" t="str">
        <v/>
      </c>
      <c r="C232">
        <v>0</v>
      </c>
      <c r="D232">
        <v>0</v>
      </c>
      <c r="E232">
        <v>0</v>
      </c>
      <c r="F232">
        <v>0</v>
      </c>
      <c r="G232" t="str">
        <v/>
      </c>
    </row>
    <row r="233" spans="2:7" x14ac:dyDescent="0.25">
      <c r="B233" t="str">
        <v/>
      </c>
      <c r="C233">
        <v>0</v>
      </c>
      <c r="D233">
        <v>0</v>
      </c>
      <c r="E233">
        <v>0</v>
      </c>
      <c r="F233">
        <v>0</v>
      </c>
      <c r="G233" t="str">
        <v/>
      </c>
    </row>
    <row r="234" spans="2:7" x14ac:dyDescent="0.25">
      <c r="B234" t="str">
        <v/>
      </c>
      <c r="C234">
        <v>0</v>
      </c>
      <c r="D234">
        <v>0</v>
      </c>
      <c r="E234">
        <v>0</v>
      </c>
      <c r="F234">
        <v>0</v>
      </c>
      <c r="G234" t="str">
        <v/>
      </c>
    </row>
    <row r="235" spans="2:7" x14ac:dyDescent="0.25">
      <c r="B235" t="str">
        <v/>
      </c>
      <c r="C235">
        <v>0</v>
      </c>
      <c r="D235">
        <v>0</v>
      </c>
      <c r="E235">
        <v>0</v>
      </c>
      <c r="F235">
        <v>0</v>
      </c>
      <c r="G235" t="str">
        <v/>
      </c>
    </row>
    <row r="236" spans="2:7" x14ac:dyDescent="0.25">
      <c r="B236" t="str">
        <v/>
      </c>
      <c r="C236">
        <v>0</v>
      </c>
      <c r="D236">
        <v>0</v>
      </c>
      <c r="E236">
        <v>0</v>
      </c>
      <c r="F236">
        <v>0</v>
      </c>
      <c r="G236" t="str">
        <v/>
      </c>
    </row>
    <row r="237" spans="2:7" x14ac:dyDescent="0.25">
      <c r="B237" t="str">
        <v/>
      </c>
      <c r="C237">
        <v>0</v>
      </c>
      <c r="D237">
        <v>0</v>
      </c>
      <c r="E237">
        <v>0</v>
      </c>
      <c r="F237">
        <v>0</v>
      </c>
      <c r="G237" t="str">
        <v/>
      </c>
    </row>
    <row r="238" spans="2:7" x14ac:dyDescent="0.25">
      <c r="B238" t="str">
        <v/>
      </c>
      <c r="C238">
        <v>0</v>
      </c>
      <c r="D238">
        <v>0</v>
      </c>
      <c r="E238">
        <v>0</v>
      </c>
      <c r="F238">
        <v>0</v>
      </c>
      <c r="G238" t="str">
        <v/>
      </c>
    </row>
    <row r="239" spans="2:7" x14ac:dyDescent="0.25">
      <c r="B239" t="str">
        <v/>
      </c>
      <c r="C239">
        <v>0</v>
      </c>
      <c r="D239">
        <v>0</v>
      </c>
      <c r="E239">
        <v>0</v>
      </c>
      <c r="F239">
        <v>0</v>
      </c>
      <c r="G239" t="str">
        <v/>
      </c>
    </row>
    <row r="240" spans="2:7" x14ac:dyDescent="0.25">
      <c r="B240" t="str">
        <v/>
      </c>
      <c r="C240">
        <v>0</v>
      </c>
      <c r="D240">
        <v>0</v>
      </c>
      <c r="E240">
        <v>0</v>
      </c>
      <c r="F240">
        <v>0</v>
      </c>
      <c r="G240" t="str">
        <v/>
      </c>
    </row>
    <row r="241" spans="2:7" x14ac:dyDescent="0.25">
      <c r="B241" t="str">
        <v/>
      </c>
      <c r="C241">
        <v>0</v>
      </c>
      <c r="D241">
        <v>0</v>
      </c>
      <c r="E241">
        <v>0</v>
      </c>
      <c r="F241">
        <v>0</v>
      </c>
      <c r="G241" t="str">
        <v/>
      </c>
    </row>
    <row r="242" spans="2:7" x14ac:dyDescent="0.25">
      <c r="B242" t="str">
        <v/>
      </c>
      <c r="C242">
        <v>0</v>
      </c>
      <c r="D242">
        <v>0</v>
      </c>
      <c r="E242">
        <v>0</v>
      </c>
      <c r="F242">
        <v>0</v>
      </c>
      <c r="G242" t="str">
        <v/>
      </c>
    </row>
    <row r="243" spans="2:7" x14ac:dyDescent="0.25">
      <c r="B243" t="str">
        <v/>
      </c>
      <c r="C243">
        <v>0</v>
      </c>
      <c r="D243">
        <v>0</v>
      </c>
      <c r="E243">
        <v>0</v>
      </c>
      <c r="F243">
        <v>0</v>
      </c>
      <c r="G243" t="str">
        <v/>
      </c>
    </row>
    <row r="244" spans="2:7" x14ac:dyDescent="0.25">
      <c r="B244" t="str">
        <v/>
      </c>
      <c r="C244">
        <v>0</v>
      </c>
      <c r="D244">
        <v>0</v>
      </c>
      <c r="E244">
        <v>0</v>
      </c>
      <c r="F244">
        <v>0</v>
      </c>
      <c r="G244" t="str">
        <v/>
      </c>
    </row>
    <row r="245" spans="2:7" x14ac:dyDescent="0.25">
      <c r="B245" t="str">
        <v/>
      </c>
      <c r="C245">
        <v>0</v>
      </c>
      <c r="D245">
        <v>0</v>
      </c>
      <c r="E245">
        <v>0</v>
      </c>
      <c r="F245">
        <v>0</v>
      </c>
      <c r="G245" t="str">
        <v/>
      </c>
    </row>
    <row r="246" spans="2:7" x14ac:dyDescent="0.25">
      <c r="B246" t="str">
        <v/>
      </c>
      <c r="C246">
        <v>0</v>
      </c>
      <c r="D246">
        <v>0</v>
      </c>
      <c r="E246">
        <v>0</v>
      </c>
      <c r="F246">
        <v>0</v>
      </c>
      <c r="G246" t="str">
        <v/>
      </c>
    </row>
    <row r="247" spans="2:7" x14ac:dyDescent="0.25">
      <c r="B247" t="str">
        <v/>
      </c>
      <c r="C247">
        <v>0</v>
      </c>
      <c r="D247">
        <v>0</v>
      </c>
      <c r="E247">
        <v>0</v>
      </c>
      <c r="F247">
        <v>0</v>
      </c>
      <c r="G247" t="str">
        <v/>
      </c>
    </row>
    <row r="248" spans="2:7" x14ac:dyDescent="0.25">
      <c r="B248" t="str">
        <v/>
      </c>
      <c r="C248">
        <v>0</v>
      </c>
      <c r="D248">
        <v>0</v>
      </c>
      <c r="E248">
        <v>0</v>
      </c>
      <c r="F248">
        <v>0</v>
      </c>
      <c r="G248" t="str">
        <v/>
      </c>
    </row>
    <row r="249" spans="2:7" x14ac:dyDescent="0.25">
      <c r="B249" t="str">
        <v/>
      </c>
      <c r="C249">
        <v>0</v>
      </c>
      <c r="D249">
        <v>0</v>
      </c>
      <c r="E249">
        <v>0</v>
      </c>
      <c r="F249">
        <v>0</v>
      </c>
      <c r="G249" t="str">
        <v/>
      </c>
    </row>
    <row r="250" spans="2:7" x14ac:dyDescent="0.25">
      <c r="B250" t="str">
        <v/>
      </c>
      <c r="C250">
        <v>0</v>
      </c>
      <c r="D250">
        <v>0</v>
      </c>
      <c r="E250">
        <v>0</v>
      </c>
      <c r="F250">
        <v>0</v>
      </c>
      <c r="G250" t="str">
        <v/>
      </c>
    </row>
    <row r="251" spans="2:7" x14ac:dyDescent="0.25">
      <c r="B251" t="str">
        <v/>
      </c>
      <c r="C251">
        <v>0</v>
      </c>
      <c r="D251">
        <v>0</v>
      </c>
      <c r="E251">
        <v>0</v>
      </c>
      <c r="F251">
        <v>0</v>
      </c>
      <c r="G251" t="str">
        <v/>
      </c>
    </row>
    <row r="252" spans="2:7" x14ac:dyDescent="0.25">
      <c r="B252" t="str">
        <v/>
      </c>
      <c r="C252">
        <v>0</v>
      </c>
      <c r="D252">
        <v>0</v>
      </c>
      <c r="E252">
        <v>0</v>
      </c>
      <c r="F252">
        <v>0</v>
      </c>
      <c r="G252" t="str">
        <v/>
      </c>
    </row>
    <row r="253" spans="2:7" x14ac:dyDescent="0.25">
      <c r="B253" t="str">
        <v/>
      </c>
      <c r="C253">
        <v>0</v>
      </c>
      <c r="D253">
        <v>0</v>
      </c>
      <c r="E253">
        <v>0</v>
      </c>
      <c r="F253">
        <v>0</v>
      </c>
      <c r="G253" t="str">
        <v/>
      </c>
    </row>
    <row r="254" spans="2:7" x14ac:dyDescent="0.25">
      <c r="B254" t="str">
        <v/>
      </c>
      <c r="C254">
        <v>0</v>
      </c>
      <c r="D254">
        <v>0</v>
      </c>
      <c r="E254">
        <v>0</v>
      </c>
      <c r="F254">
        <v>0</v>
      </c>
      <c r="G254" t="str">
        <v/>
      </c>
    </row>
    <row r="255" spans="2:7" x14ac:dyDescent="0.25">
      <c r="B255" t="str">
        <v/>
      </c>
      <c r="C255">
        <v>0</v>
      </c>
      <c r="D255">
        <v>0</v>
      </c>
      <c r="E255">
        <v>0</v>
      </c>
      <c r="F255">
        <v>0</v>
      </c>
      <c r="G255" t="str">
        <v/>
      </c>
    </row>
    <row r="256" spans="2:7" x14ac:dyDescent="0.25">
      <c r="B256" t="str">
        <v/>
      </c>
      <c r="C256">
        <v>0</v>
      </c>
      <c r="D256">
        <v>0</v>
      </c>
      <c r="E256">
        <v>0</v>
      </c>
      <c r="F256">
        <v>0</v>
      </c>
      <c r="G256" t="str">
        <v/>
      </c>
    </row>
    <row r="257" spans="2:7" x14ac:dyDescent="0.25">
      <c r="B257" t="str">
        <v/>
      </c>
      <c r="C257">
        <v>0</v>
      </c>
      <c r="D257">
        <v>0</v>
      </c>
      <c r="E257">
        <v>0</v>
      </c>
      <c r="F257">
        <v>0</v>
      </c>
      <c r="G257" t="str">
        <v/>
      </c>
    </row>
    <row r="258" spans="2:7" x14ac:dyDescent="0.25">
      <c r="B258" t="str">
        <v/>
      </c>
      <c r="C258">
        <v>0</v>
      </c>
      <c r="D258">
        <v>0</v>
      </c>
      <c r="E258">
        <v>0</v>
      </c>
      <c r="F258">
        <v>0</v>
      </c>
      <c r="G258" t="str">
        <v/>
      </c>
    </row>
    <row r="259" spans="2:7" x14ac:dyDescent="0.25">
      <c r="B259" t="str">
        <v/>
      </c>
      <c r="C259">
        <v>0</v>
      </c>
      <c r="D259">
        <v>0</v>
      </c>
      <c r="E259">
        <v>0</v>
      </c>
      <c r="F259">
        <v>0</v>
      </c>
      <c r="G259" t="str">
        <v/>
      </c>
    </row>
    <row r="260" spans="2:7" x14ac:dyDescent="0.25">
      <c r="B260" t="str">
        <v/>
      </c>
      <c r="C260">
        <v>0</v>
      </c>
      <c r="D260">
        <v>0</v>
      </c>
      <c r="E260">
        <v>0</v>
      </c>
      <c r="F260">
        <v>0</v>
      </c>
      <c r="G260" t="str">
        <v/>
      </c>
    </row>
    <row r="261" spans="2:7" x14ac:dyDescent="0.25">
      <c r="B261" t="str">
        <v/>
      </c>
      <c r="C261">
        <v>0</v>
      </c>
      <c r="D261">
        <v>0</v>
      </c>
      <c r="E261">
        <v>0</v>
      </c>
      <c r="F261">
        <v>0</v>
      </c>
      <c r="G261" t="str">
        <v/>
      </c>
    </row>
    <row r="262" spans="2:7" x14ac:dyDescent="0.25">
      <c r="B262" t="str">
        <v/>
      </c>
      <c r="C262">
        <v>0</v>
      </c>
      <c r="D262">
        <v>0</v>
      </c>
      <c r="E262">
        <v>0</v>
      </c>
      <c r="F262">
        <v>0</v>
      </c>
      <c r="G262" t="str">
        <v/>
      </c>
    </row>
    <row r="263" spans="2:7" x14ac:dyDescent="0.25">
      <c r="B263" t="str">
        <v/>
      </c>
      <c r="C263">
        <v>0</v>
      </c>
      <c r="D263">
        <v>0</v>
      </c>
      <c r="E263">
        <v>0</v>
      </c>
      <c r="F263">
        <v>0</v>
      </c>
      <c r="G263" t="str">
        <v/>
      </c>
    </row>
    <row r="264" spans="2:7" x14ac:dyDescent="0.25">
      <c r="B264" t="str">
        <v/>
      </c>
      <c r="C264">
        <v>0</v>
      </c>
      <c r="D264">
        <v>0</v>
      </c>
      <c r="E264">
        <v>0</v>
      </c>
      <c r="F264">
        <v>0</v>
      </c>
      <c r="G264" t="str">
        <v/>
      </c>
    </row>
    <row r="265" spans="2:7" x14ac:dyDescent="0.25">
      <c r="B265" t="str">
        <v/>
      </c>
      <c r="C265">
        <v>0</v>
      </c>
      <c r="D265">
        <v>0</v>
      </c>
      <c r="E265">
        <v>0</v>
      </c>
      <c r="F265">
        <v>0</v>
      </c>
      <c r="G265" t="str">
        <v/>
      </c>
    </row>
    <row r="266" spans="2:7" x14ac:dyDescent="0.25">
      <c r="B266" t="str">
        <v/>
      </c>
      <c r="C266">
        <v>0</v>
      </c>
      <c r="D266">
        <v>0</v>
      </c>
      <c r="E266">
        <v>0</v>
      </c>
      <c r="F266">
        <v>0</v>
      </c>
      <c r="G266" t="str">
        <v/>
      </c>
    </row>
    <row r="267" spans="2:7" x14ac:dyDescent="0.25">
      <c r="B267" t="str">
        <v/>
      </c>
      <c r="C267">
        <v>0</v>
      </c>
      <c r="D267">
        <v>0</v>
      </c>
      <c r="E267">
        <v>0</v>
      </c>
      <c r="F267">
        <v>0</v>
      </c>
      <c r="G267" t="str">
        <v/>
      </c>
    </row>
    <row r="268" spans="2:7" x14ac:dyDescent="0.25">
      <c r="B268" t="str">
        <v/>
      </c>
      <c r="C268">
        <v>0</v>
      </c>
      <c r="D268">
        <v>0</v>
      </c>
      <c r="E268">
        <v>0</v>
      </c>
      <c r="F268">
        <v>0</v>
      </c>
      <c r="G268" t="str">
        <v/>
      </c>
    </row>
    <row r="269" spans="2:7" x14ac:dyDescent="0.25">
      <c r="B269" t="str">
        <v/>
      </c>
      <c r="C269">
        <v>0</v>
      </c>
      <c r="D269">
        <v>0</v>
      </c>
      <c r="E269">
        <v>0</v>
      </c>
      <c r="F269">
        <v>0</v>
      </c>
      <c r="G269" t="str">
        <v/>
      </c>
    </row>
    <row r="270" spans="2:7" x14ac:dyDescent="0.25">
      <c r="B270" t="str">
        <v/>
      </c>
      <c r="C270">
        <v>0</v>
      </c>
      <c r="D270">
        <v>0</v>
      </c>
      <c r="E270">
        <v>0</v>
      </c>
      <c r="F270">
        <v>0</v>
      </c>
      <c r="G270" t="str">
        <v/>
      </c>
    </row>
    <row r="271" spans="2:7" x14ac:dyDescent="0.25">
      <c r="B271" t="str">
        <v/>
      </c>
      <c r="C271">
        <v>0</v>
      </c>
      <c r="D271">
        <v>0</v>
      </c>
      <c r="E271">
        <v>0</v>
      </c>
      <c r="F271">
        <v>0</v>
      </c>
      <c r="G271" t="str">
        <v/>
      </c>
    </row>
    <row r="272" spans="2:7" x14ac:dyDescent="0.25">
      <c r="B272" t="str">
        <v/>
      </c>
      <c r="C272">
        <v>0</v>
      </c>
      <c r="D272">
        <v>0</v>
      </c>
      <c r="E272">
        <v>0</v>
      </c>
      <c r="F272">
        <v>0</v>
      </c>
      <c r="G272" t="str">
        <v/>
      </c>
    </row>
    <row r="273" spans="2:7" x14ac:dyDescent="0.25">
      <c r="B273" t="str">
        <v/>
      </c>
      <c r="C273">
        <v>0</v>
      </c>
      <c r="D273">
        <v>0</v>
      </c>
      <c r="E273">
        <v>0</v>
      </c>
      <c r="F273">
        <v>0</v>
      </c>
      <c r="G273" t="str">
        <v/>
      </c>
    </row>
    <row r="274" spans="2:7" x14ac:dyDescent="0.25">
      <c r="B274" t="str">
        <v/>
      </c>
      <c r="C274">
        <v>0</v>
      </c>
      <c r="D274">
        <v>0</v>
      </c>
      <c r="E274">
        <v>0</v>
      </c>
      <c r="F274">
        <v>0</v>
      </c>
      <c r="G274" t="str">
        <v/>
      </c>
    </row>
    <row r="275" spans="2:7" x14ac:dyDescent="0.25">
      <c r="B275" t="str">
        <v/>
      </c>
      <c r="C275">
        <v>0</v>
      </c>
      <c r="D275">
        <v>0</v>
      </c>
      <c r="E275">
        <v>0</v>
      </c>
      <c r="F275">
        <v>0</v>
      </c>
      <c r="G275" t="str">
        <v/>
      </c>
    </row>
    <row r="276" spans="2:7" x14ac:dyDescent="0.25">
      <c r="B276" t="str">
        <v/>
      </c>
      <c r="C276">
        <v>0</v>
      </c>
      <c r="D276">
        <v>0</v>
      </c>
      <c r="E276">
        <v>0</v>
      </c>
      <c r="F276">
        <v>0</v>
      </c>
      <c r="G276" t="str">
        <v/>
      </c>
    </row>
    <row r="277" spans="2:7" x14ac:dyDescent="0.25">
      <c r="B277" t="str">
        <v/>
      </c>
      <c r="C277">
        <v>0</v>
      </c>
      <c r="D277">
        <v>0</v>
      </c>
      <c r="E277">
        <v>0</v>
      </c>
      <c r="F277">
        <v>0</v>
      </c>
      <c r="G277" t="str">
        <v/>
      </c>
    </row>
    <row r="278" spans="2:7" x14ac:dyDescent="0.25">
      <c r="B278" t="str">
        <v/>
      </c>
      <c r="C278">
        <v>0</v>
      </c>
      <c r="D278">
        <v>0</v>
      </c>
      <c r="E278">
        <v>0</v>
      </c>
      <c r="F278">
        <v>0</v>
      </c>
      <c r="G278" t="str">
        <v/>
      </c>
    </row>
    <row r="279" spans="2:7" x14ac:dyDescent="0.25">
      <c r="B279" t="str">
        <v/>
      </c>
      <c r="C279">
        <v>0</v>
      </c>
      <c r="D279">
        <v>0</v>
      </c>
      <c r="E279">
        <v>0</v>
      </c>
      <c r="F279">
        <v>0</v>
      </c>
      <c r="G279" t="str">
        <v/>
      </c>
    </row>
    <row r="280" spans="2:7" x14ac:dyDescent="0.25">
      <c r="B280" t="str">
        <v/>
      </c>
      <c r="C280">
        <v>0</v>
      </c>
      <c r="D280">
        <v>0</v>
      </c>
      <c r="E280">
        <v>0</v>
      </c>
      <c r="F280">
        <v>0</v>
      </c>
      <c r="G280" t="str">
        <v/>
      </c>
    </row>
    <row r="281" spans="2:7" x14ac:dyDescent="0.25">
      <c r="B281" t="str">
        <v/>
      </c>
      <c r="C281">
        <v>0</v>
      </c>
      <c r="D281">
        <v>0</v>
      </c>
      <c r="E281">
        <v>0</v>
      </c>
      <c r="F281">
        <v>0</v>
      </c>
      <c r="G281" t="str">
        <v/>
      </c>
    </row>
    <row r="282" spans="2:7" x14ac:dyDescent="0.25">
      <c r="B282" t="str">
        <v/>
      </c>
      <c r="C282">
        <v>0</v>
      </c>
      <c r="D282">
        <v>0</v>
      </c>
      <c r="E282">
        <v>0</v>
      </c>
      <c r="F282">
        <v>0</v>
      </c>
      <c r="G282" t="str">
        <v/>
      </c>
    </row>
    <row r="283" spans="2:7" x14ac:dyDescent="0.25">
      <c r="B283" t="str">
        <v/>
      </c>
      <c r="C283">
        <v>0</v>
      </c>
      <c r="D283">
        <v>0</v>
      </c>
      <c r="E283">
        <v>0</v>
      </c>
      <c r="F283">
        <v>0</v>
      </c>
      <c r="G283" t="str">
        <v/>
      </c>
    </row>
    <row r="284" spans="2:7" x14ac:dyDescent="0.25">
      <c r="B284" t="str">
        <v/>
      </c>
      <c r="C284">
        <v>0</v>
      </c>
      <c r="D284">
        <v>0</v>
      </c>
      <c r="E284">
        <v>0</v>
      </c>
      <c r="F284">
        <v>0</v>
      </c>
      <c r="G284" t="str">
        <v/>
      </c>
    </row>
    <row r="285" spans="2:7" x14ac:dyDescent="0.25">
      <c r="B285" t="str">
        <v/>
      </c>
      <c r="C285">
        <v>0</v>
      </c>
      <c r="D285">
        <v>0</v>
      </c>
      <c r="E285">
        <v>0</v>
      </c>
      <c r="F285">
        <v>0</v>
      </c>
      <c r="G285" t="str">
        <v/>
      </c>
    </row>
    <row r="286" spans="2:7" x14ac:dyDescent="0.25">
      <c r="B286" t="str">
        <v/>
      </c>
      <c r="C286">
        <v>0</v>
      </c>
      <c r="D286">
        <v>0</v>
      </c>
      <c r="E286">
        <v>0</v>
      </c>
      <c r="F286">
        <v>0</v>
      </c>
      <c r="G286" t="str">
        <v/>
      </c>
    </row>
    <row r="287" spans="2:7" x14ac:dyDescent="0.25">
      <c r="B287" t="str">
        <v/>
      </c>
      <c r="C287">
        <v>0</v>
      </c>
      <c r="D287">
        <v>0</v>
      </c>
      <c r="E287">
        <v>0</v>
      </c>
      <c r="F287">
        <v>0</v>
      </c>
      <c r="G287" t="str">
        <v/>
      </c>
    </row>
    <row r="288" spans="2:7" x14ac:dyDescent="0.25">
      <c r="B288" t="str">
        <v/>
      </c>
      <c r="C288">
        <v>0</v>
      </c>
      <c r="D288">
        <v>0</v>
      </c>
      <c r="E288">
        <v>0</v>
      </c>
      <c r="F288">
        <v>0</v>
      </c>
      <c r="G288" t="str">
        <v/>
      </c>
    </row>
    <row r="289" spans="2:7" x14ac:dyDescent="0.25">
      <c r="B289" t="str">
        <v/>
      </c>
      <c r="C289">
        <v>0</v>
      </c>
      <c r="D289">
        <v>0</v>
      </c>
      <c r="E289">
        <v>0</v>
      </c>
      <c r="F289">
        <v>0</v>
      </c>
      <c r="G289" t="str">
        <v/>
      </c>
    </row>
    <row r="290" spans="2:7" x14ac:dyDescent="0.25">
      <c r="B290" t="str">
        <v/>
      </c>
      <c r="C290">
        <v>0</v>
      </c>
      <c r="D290">
        <v>0</v>
      </c>
      <c r="E290">
        <v>0</v>
      </c>
      <c r="F290">
        <v>0</v>
      </c>
      <c r="G290" t="str">
        <v/>
      </c>
    </row>
    <row r="291" spans="2:7" x14ac:dyDescent="0.25">
      <c r="B291" t="str">
        <v/>
      </c>
      <c r="C291">
        <v>0</v>
      </c>
      <c r="D291">
        <v>0</v>
      </c>
      <c r="E291">
        <v>0</v>
      </c>
      <c r="F291">
        <v>0</v>
      </c>
      <c r="G291" t="str">
        <v/>
      </c>
    </row>
    <row r="292" spans="2:7" x14ac:dyDescent="0.25">
      <c r="B292" t="str">
        <v/>
      </c>
      <c r="C292">
        <v>0</v>
      </c>
      <c r="D292">
        <v>0</v>
      </c>
      <c r="E292">
        <v>0</v>
      </c>
      <c r="F292">
        <v>0</v>
      </c>
      <c r="G292" t="str">
        <v/>
      </c>
    </row>
    <row r="293" spans="2:7" x14ac:dyDescent="0.25">
      <c r="B293" t="str">
        <v/>
      </c>
      <c r="C293">
        <v>0</v>
      </c>
      <c r="D293">
        <v>0</v>
      </c>
      <c r="E293">
        <v>0</v>
      </c>
      <c r="F293">
        <v>0</v>
      </c>
      <c r="G293" t="str">
        <v/>
      </c>
    </row>
    <row r="294" spans="2:7" x14ac:dyDescent="0.25">
      <c r="B294" t="str">
        <v/>
      </c>
      <c r="C294">
        <v>0</v>
      </c>
      <c r="D294">
        <v>0</v>
      </c>
      <c r="E294">
        <v>0</v>
      </c>
      <c r="F294">
        <v>0</v>
      </c>
      <c r="G294" t="str">
        <v/>
      </c>
    </row>
    <row r="295" spans="2:7" x14ac:dyDescent="0.25">
      <c r="B295" t="str">
        <v/>
      </c>
      <c r="C295">
        <v>0</v>
      </c>
      <c r="D295">
        <v>0</v>
      </c>
      <c r="E295">
        <v>0</v>
      </c>
      <c r="F295">
        <v>0</v>
      </c>
      <c r="G295" t="str">
        <v/>
      </c>
    </row>
    <row r="296" spans="2:7" x14ac:dyDescent="0.25">
      <c r="B296" t="str">
        <v/>
      </c>
      <c r="C296">
        <v>0</v>
      </c>
      <c r="D296">
        <v>0</v>
      </c>
      <c r="E296">
        <v>0</v>
      </c>
      <c r="F296">
        <v>0</v>
      </c>
      <c r="G296" t="str">
        <v/>
      </c>
    </row>
    <row r="297" spans="2:7" x14ac:dyDescent="0.25">
      <c r="B297" t="str">
        <v/>
      </c>
      <c r="C297">
        <v>0</v>
      </c>
      <c r="D297">
        <v>0</v>
      </c>
      <c r="E297">
        <v>0</v>
      </c>
      <c r="F297">
        <v>0</v>
      </c>
      <c r="G297" t="str">
        <v/>
      </c>
    </row>
    <row r="298" spans="2:7" x14ac:dyDescent="0.25">
      <c r="B298" t="str">
        <v/>
      </c>
      <c r="C298">
        <v>0</v>
      </c>
      <c r="D298">
        <v>0</v>
      </c>
      <c r="E298">
        <v>0</v>
      </c>
      <c r="F298">
        <v>0</v>
      </c>
      <c r="G298" t="str">
        <v/>
      </c>
    </row>
    <row r="299" spans="2:7" x14ac:dyDescent="0.25">
      <c r="B299" t="str">
        <v/>
      </c>
      <c r="C299">
        <v>0</v>
      </c>
      <c r="D299">
        <v>0</v>
      </c>
      <c r="E299">
        <v>0</v>
      </c>
      <c r="F299">
        <v>0</v>
      </c>
      <c r="G299" t="str">
        <v/>
      </c>
    </row>
    <row r="300" spans="2:7" x14ac:dyDescent="0.25">
      <c r="B300" t="str">
        <v/>
      </c>
      <c r="C300">
        <v>0</v>
      </c>
      <c r="D300">
        <v>0</v>
      </c>
      <c r="E300">
        <v>0</v>
      </c>
      <c r="F300">
        <v>0</v>
      </c>
      <c r="G300" t="str">
        <v/>
      </c>
    </row>
    <row r="301" spans="2:7" x14ac:dyDescent="0.25">
      <c r="B301" t="str">
        <v/>
      </c>
      <c r="C301">
        <v>0</v>
      </c>
      <c r="D301">
        <v>0</v>
      </c>
      <c r="E301">
        <v>0</v>
      </c>
      <c r="F301">
        <v>0</v>
      </c>
      <c r="G301" t="str">
        <v/>
      </c>
    </row>
    <row r="302" spans="2:7" x14ac:dyDescent="0.25">
      <c r="B302" t="str">
        <v/>
      </c>
      <c r="C302">
        <v>0</v>
      </c>
      <c r="D302">
        <v>0</v>
      </c>
      <c r="E302">
        <v>0</v>
      </c>
      <c r="F302">
        <v>0</v>
      </c>
      <c r="G302" t="str">
        <v/>
      </c>
    </row>
    <row r="303" spans="2:7" x14ac:dyDescent="0.25">
      <c r="B303" t="str">
        <v/>
      </c>
      <c r="C303">
        <v>0</v>
      </c>
      <c r="D303">
        <v>0</v>
      </c>
      <c r="E303">
        <v>0</v>
      </c>
      <c r="F303">
        <v>0</v>
      </c>
      <c r="G303" t="str">
        <v/>
      </c>
    </row>
    <row r="304" spans="2:7" x14ac:dyDescent="0.25">
      <c r="B304" t="str">
        <v/>
      </c>
      <c r="C304">
        <v>0</v>
      </c>
      <c r="D304">
        <v>0</v>
      </c>
      <c r="E304">
        <v>0</v>
      </c>
      <c r="F304">
        <v>0</v>
      </c>
      <c r="G304" t="str">
        <v/>
      </c>
    </row>
    <row r="305" spans="2:7" x14ac:dyDescent="0.25">
      <c r="B305" t="str">
        <v/>
      </c>
      <c r="C305">
        <v>0</v>
      </c>
      <c r="D305">
        <v>0</v>
      </c>
      <c r="E305">
        <v>0</v>
      </c>
      <c r="F305">
        <v>0</v>
      </c>
      <c r="G305" t="str">
        <v/>
      </c>
    </row>
    <row r="306" spans="2:7" x14ac:dyDescent="0.25">
      <c r="B306" t="str">
        <v/>
      </c>
      <c r="C306">
        <v>0</v>
      </c>
      <c r="D306">
        <v>0</v>
      </c>
      <c r="E306">
        <v>0</v>
      </c>
      <c r="F306">
        <v>0</v>
      </c>
      <c r="G306" t="str">
        <v/>
      </c>
    </row>
    <row r="307" spans="2:7" x14ac:dyDescent="0.25">
      <c r="B307" t="str">
        <v/>
      </c>
      <c r="C307">
        <v>0</v>
      </c>
      <c r="D307">
        <v>0</v>
      </c>
      <c r="E307">
        <v>0</v>
      </c>
      <c r="F307">
        <v>0</v>
      </c>
      <c r="G307" t="str">
        <v/>
      </c>
    </row>
    <row r="308" spans="2:7" x14ac:dyDescent="0.25">
      <c r="B308" t="str">
        <v/>
      </c>
      <c r="C308">
        <v>0</v>
      </c>
      <c r="D308">
        <v>0</v>
      </c>
      <c r="E308">
        <v>0</v>
      </c>
      <c r="F308">
        <v>0</v>
      </c>
      <c r="G308" t="str">
        <v/>
      </c>
    </row>
    <row r="309" spans="2:7" x14ac:dyDescent="0.25">
      <c r="B309" t="str">
        <v/>
      </c>
      <c r="C309">
        <v>0</v>
      </c>
      <c r="D309">
        <v>0</v>
      </c>
      <c r="E309">
        <v>0</v>
      </c>
      <c r="F309">
        <v>0</v>
      </c>
      <c r="G309" t="str">
        <v/>
      </c>
    </row>
    <row r="310" spans="2:7" x14ac:dyDescent="0.25">
      <c r="B310" t="str">
        <v/>
      </c>
      <c r="C310">
        <v>0</v>
      </c>
      <c r="D310">
        <v>0</v>
      </c>
      <c r="E310">
        <v>0</v>
      </c>
      <c r="F310">
        <v>0</v>
      </c>
      <c r="G310" t="str">
        <v/>
      </c>
    </row>
    <row r="311" spans="2:7" x14ac:dyDescent="0.25">
      <c r="B311" t="str">
        <v/>
      </c>
      <c r="C311">
        <v>0</v>
      </c>
      <c r="D311">
        <v>0</v>
      </c>
      <c r="E311">
        <v>0</v>
      </c>
      <c r="F311">
        <v>0</v>
      </c>
      <c r="G311" t="str">
        <v/>
      </c>
    </row>
    <row r="312" spans="2:7" x14ac:dyDescent="0.25">
      <c r="B312" t="str">
        <v/>
      </c>
      <c r="C312">
        <v>0</v>
      </c>
      <c r="D312">
        <v>0</v>
      </c>
      <c r="E312">
        <v>0</v>
      </c>
      <c r="F312">
        <v>0</v>
      </c>
      <c r="G312" t="str">
        <v/>
      </c>
    </row>
    <row r="313" spans="2:7" x14ac:dyDescent="0.25">
      <c r="B313" t="str">
        <v/>
      </c>
      <c r="C313">
        <v>0</v>
      </c>
      <c r="D313">
        <v>0</v>
      </c>
      <c r="E313">
        <v>0</v>
      </c>
      <c r="F313">
        <v>0</v>
      </c>
      <c r="G313" t="str">
        <v/>
      </c>
    </row>
    <row r="314" spans="2:7" x14ac:dyDescent="0.25">
      <c r="B314" t="str">
        <v/>
      </c>
      <c r="C314">
        <v>0</v>
      </c>
      <c r="D314">
        <v>0</v>
      </c>
      <c r="E314">
        <v>0</v>
      </c>
      <c r="F314">
        <v>0</v>
      </c>
      <c r="G314" t="str">
        <v/>
      </c>
    </row>
    <row r="315" spans="2:7" x14ac:dyDescent="0.25">
      <c r="B315" t="str">
        <v/>
      </c>
      <c r="C315">
        <v>0</v>
      </c>
      <c r="D315">
        <v>0</v>
      </c>
      <c r="E315">
        <v>0</v>
      </c>
      <c r="F315">
        <v>0</v>
      </c>
      <c r="G315" t="str">
        <v/>
      </c>
    </row>
    <row r="316" spans="2:7" x14ac:dyDescent="0.25">
      <c r="B316" t="str">
        <v/>
      </c>
      <c r="C316">
        <v>0</v>
      </c>
      <c r="D316">
        <v>0</v>
      </c>
      <c r="E316">
        <v>0</v>
      </c>
      <c r="F316">
        <v>0</v>
      </c>
      <c r="G316" t="str">
        <v/>
      </c>
    </row>
    <row r="317" spans="2:7" x14ac:dyDescent="0.25">
      <c r="B317" t="str">
        <v/>
      </c>
      <c r="C317">
        <v>0</v>
      </c>
      <c r="D317">
        <v>0</v>
      </c>
      <c r="E317">
        <v>0</v>
      </c>
      <c r="F317">
        <v>0</v>
      </c>
      <c r="G317" t="str">
        <v/>
      </c>
    </row>
    <row r="318" spans="2:7" x14ac:dyDescent="0.25">
      <c r="B318" t="str">
        <v/>
      </c>
      <c r="C318">
        <v>0</v>
      </c>
      <c r="D318">
        <v>0</v>
      </c>
      <c r="E318">
        <v>0</v>
      </c>
      <c r="F318">
        <v>0</v>
      </c>
      <c r="G318" t="str">
        <v/>
      </c>
    </row>
    <row r="319" spans="2:7" x14ac:dyDescent="0.25">
      <c r="B319" t="str">
        <v/>
      </c>
      <c r="C319">
        <v>0</v>
      </c>
      <c r="D319">
        <v>0</v>
      </c>
      <c r="E319">
        <v>0</v>
      </c>
      <c r="F319">
        <v>0</v>
      </c>
      <c r="G319" t="str">
        <v/>
      </c>
    </row>
    <row r="320" spans="2:7" x14ac:dyDescent="0.25">
      <c r="B320" t="str">
        <v/>
      </c>
      <c r="C320">
        <v>0</v>
      </c>
      <c r="D320">
        <v>0</v>
      </c>
      <c r="E320">
        <v>0</v>
      </c>
      <c r="F320">
        <v>0</v>
      </c>
      <c r="G320" t="str">
        <v/>
      </c>
    </row>
    <row r="321" spans="2:7" x14ac:dyDescent="0.25">
      <c r="B321" t="str">
        <v/>
      </c>
      <c r="C321">
        <v>0</v>
      </c>
      <c r="D321">
        <v>0</v>
      </c>
      <c r="E321">
        <v>0</v>
      </c>
      <c r="F321">
        <v>0</v>
      </c>
      <c r="G321" t="str">
        <v/>
      </c>
    </row>
    <row r="322" spans="2:7" x14ac:dyDescent="0.25">
      <c r="B322" t="str">
        <v/>
      </c>
      <c r="C322">
        <v>0</v>
      </c>
      <c r="D322">
        <v>0</v>
      </c>
      <c r="E322">
        <v>0</v>
      </c>
      <c r="F322">
        <v>0</v>
      </c>
      <c r="G322" t="str">
        <v/>
      </c>
    </row>
    <row r="323" spans="2:7" x14ac:dyDescent="0.25">
      <c r="B323" t="str">
        <v/>
      </c>
      <c r="C323">
        <v>0</v>
      </c>
      <c r="D323">
        <v>0</v>
      </c>
      <c r="E323">
        <v>0</v>
      </c>
      <c r="F323">
        <v>0</v>
      </c>
      <c r="G323" t="str">
        <v/>
      </c>
    </row>
    <row r="324" spans="2:7" x14ac:dyDescent="0.25">
      <c r="B324" t="str">
        <v/>
      </c>
      <c r="C324">
        <v>0</v>
      </c>
      <c r="D324">
        <v>0</v>
      </c>
      <c r="E324">
        <v>0</v>
      </c>
      <c r="F324">
        <v>0</v>
      </c>
      <c r="G324" t="str">
        <v/>
      </c>
    </row>
    <row r="325" spans="2:7" x14ac:dyDescent="0.25">
      <c r="B325" t="str">
        <v/>
      </c>
      <c r="C325">
        <v>0</v>
      </c>
      <c r="D325">
        <v>0</v>
      </c>
      <c r="E325">
        <v>0</v>
      </c>
      <c r="F325">
        <v>0</v>
      </c>
      <c r="G325" t="str">
        <v/>
      </c>
    </row>
    <row r="326" spans="2:7" x14ac:dyDescent="0.25">
      <c r="B326" t="str">
        <v/>
      </c>
      <c r="C326">
        <v>0</v>
      </c>
      <c r="D326">
        <v>0</v>
      </c>
      <c r="E326">
        <v>0</v>
      </c>
      <c r="F326">
        <v>0</v>
      </c>
      <c r="G326" t="str">
        <v/>
      </c>
    </row>
    <row r="327" spans="2:7" x14ac:dyDescent="0.25">
      <c r="B327" t="str">
        <v/>
      </c>
      <c r="C327">
        <v>0</v>
      </c>
      <c r="D327">
        <v>0</v>
      </c>
      <c r="E327">
        <v>0</v>
      </c>
      <c r="F327">
        <v>0</v>
      </c>
      <c r="G327" t="str">
        <v/>
      </c>
    </row>
    <row r="328" spans="2:7" x14ac:dyDescent="0.25">
      <c r="B328" t="str">
        <v/>
      </c>
      <c r="C328">
        <v>0</v>
      </c>
      <c r="D328">
        <v>0</v>
      </c>
      <c r="E328">
        <v>0</v>
      </c>
      <c r="F328">
        <v>0</v>
      </c>
      <c r="G328" t="str">
        <v/>
      </c>
    </row>
    <row r="329" spans="2:7" x14ac:dyDescent="0.25">
      <c r="B329" t="str">
        <v/>
      </c>
      <c r="C329">
        <v>0</v>
      </c>
      <c r="D329">
        <v>0</v>
      </c>
      <c r="E329">
        <v>0</v>
      </c>
      <c r="F329">
        <v>0</v>
      </c>
      <c r="G329" t="str">
        <v/>
      </c>
    </row>
    <row r="330" spans="2:7" x14ac:dyDescent="0.25">
      <c r="B330" t="str">
        <v/>
      </c>
      <c r="C330">
        <v>0</v>
      </c>
      <c r="D330">
        <v>0</v>
      </c>
      <c r="E330">
        <v>0</v>
      </c>
      <c r="F330">
        <v>0</v>
      </c>
      <c r="G330" t="str">
        <v/>
      </c>
    </row>
    <row r="331" spans="2:7" x14ac:dyDescent="0.25">
      <c r="B331" t="str">
        <v/>
      </c>
      <c r="C331">
        <v>0</v>
      </c>
      <c r="D331">
        <v>0</v>
      </c>
      <c r="E331">
        <v>0</v>
      </c>
      <c r="F331">
        <v>0</v>
      </c>
      <c r="G331" t="str">
        <v/>
      </c>
    </row>
    <row r="332" spans="2:7" x14ac:dyDescent="0.25">
      <c r="B332" t="str">
        <v/>
      </c>
      <c r="C332">
        <v>0</v>
      </c>
      <c r="D332">
        <v>0</v>
      </c>
      <c r="E332">
        <v>0</v>
      </c>
      <c r="F332">
        <v>0</v>
      </c>
      <c r="G332" t="str">
        <v/>
      </c>
    </row>
    <row r="333" spans="2:7" x14ac:dyDescent="0.25">
      <c r="B333" t="str">
        <v/>
      </c>
      <c r="C333">
        <v>0</v>
      </c>
      <c r="D333">
        <v>0</v>
      </c>
      <c r="E333">
        <v>0</v>
      </c>
      <c r="F333">
        <v>0</v>
      </c>
      <c r="G333" t="str">
        <v/>
      </c>
    </row>
    <row r="334" spans="2:7" x14ac:dyDescent="0.25">
      <c r="B334" t="str">
        <v/>
      </c>
      <c r="C334">
        <v>0</v>
      </c>
      <c r="D334">
        <v>0</v>
      </c>
      <c r="E334">
        <v>0</v>
      </c>
      <c r="F334">
        <v>0</v>
      </c>
      <c r="G334" t="str">
        <v/>
      </c>
    </row>
    <row r="335" spans="2:7" x14ac:dyDescent="0.25">
      <c r="B335" t="str">
        <v/>
      </c>
      <c r="C335">
        <v>0</v>
      </c>
      <c r="D335">
        <v>0</v>
      </c>
      <c r="E335">
        <v>0</v>
      </c>
      <c r="F335">
        <v>0</v>
      </c>
      <c r="G335" t="str">
        <v/>
      </c>
    </row>
    <row r="336" spans="2:7" x14ac:dyDescent="0.25">
      <c r="B336" t="str">
        <v/>
      </c>
      <c r="C336">
        <v>0</v>
      </c>
      <c r="D336">
        <v>0</v>
      </c>
      <c r="E336">
        <v>0</v>
      </c>
      <c r="F336">
        <v>0</v>
      </c>
      <c r="G336" t="str">
        <v/>
      </c>
    </row>
    <row r="337" spans="2:7" x14ac:dyDescent="0.25">
      <c r="B337" t="str">
        <v/>
      </c>
      <c r="C337">
        <v>0</v>
      </c>
      <c r="D337">
        <v>0</v>
      </c>
      <c r="E337">
        <v>0</v>
      </c>
      <c r="F337">
        <v>0</v>
      </c>
      <c r="G337" t="str">
        <v/>
      </c>
    </row>
    <row r="338" spans="2:7" x14ac:dyDescent="0.25">
      <c r="B338" t="str">
        <v/>
      </c>
      <c r="C338">
        <v>0</v>
      </c>
      <c r="D338">
        <v>0</v>
      </c>
      <c r="E338">
        <v>0</v>
      </c>
      <c r="F338">
        <v>0</v>
      </c>
      <c r="G338" t="str">
        <v/>
      </c>
    </row>
    <row r="339" spans="2:7" x14ac:dyDescent="0.25">
      <c r="B339" t="str">
        <v/>
      </c>
      <c r="C339">
        <v>0</v>
      </c>
      <c r="D339">
        <v>0</v>
      </c>
      <c r="E339">
        <v>0</v>
      </c>
      <c r="F339">
        <v>0</v>
      </c>
      <c r="G339" t="str">
        <v/>
      </c>
    </row>
    <row r="340" spans="2:7" x14ac:dyDescent="0.25">
      <c r="B340" t="str">
        <v/>
      </c>
      <c r="C340">
        <v>0</v>
      </c>
      <c r="D340">
        <v>0</v>
      </c>
      <c r="E340">
        <v>0</v>
      </c>
      <c r="F340">
        <v>0</v>
      </c>
      <c r="G340" t="str">
        <v/>
      </c>
    </row>
    <row r="341" spans="2:7" x14ac:dyDescent="0.25">
      <c r="B341" t="str">
        <v/>
      </c>
      <c r="C341">
        <v>0</v>
      </c>
      <c r="D341">
        <v>0</v>
      </c>
      <c r="E341">
        <v>0</v>
      </c>
      <c r="F341">
        <v>0</v>
      </c>
      <c r="G341" t="str">
        <v/>
      </c>
    </row>
    <row r="342" spans="2:7" x14ac:dyDescent="0.25">
      <c r="B342" t="str">
        <v/>
      </c>
      <c r="C342">
        <v>0</v>
      </c>
      <c r="D342">
        <v>0</v>
      </c>
      <c r="E342">
        <v>0</v>
      </c>
      <c r="F342">
        <v>0</v>
      </c>
      <c r="G342" t="str">
        <v/>
      </c>
    </row>
    <row r="343" spans="2:7" x14ac:dyDescent="0.25">
      <c r="B343" t="str">
        <v/>
      </c>
      <c r="C343">
        <v>0</v>
      </c>
      <c r="D343">
        <v>0</v>
      </c>
      <c r="E343">
        <v>0</v>
      </c>
      <c r="F343">
        <v>0</v>
      </c>
      <c r="G343" t="str">
        <v/>
      </c>
    </row>
    <row r="344" spans="2:7" x14ac:dyDescent="0.25">
      <c r="B344" t="str">
        <v/>
      </c>
      <c r="C344">
        <v>0</v>
      </c>
      <c r="D344">
        <v>0</v>
      </c>
      <c r="E344">
        <v>0</v>
      </c>
      <c r="F344">
        <v>0</v>
      </c>
      <c r="G344" t="str">
        <v/>
      </c>
    </row>
    <row r="345" spans="2:7" x14ac:dyDescent="0.25">
      <c r="B345" t="str">
        <v/>
      </c>
      <c r="C345">
        <v>0</v>
      </c>
      <c r="D345">
        <v>0</v>
      </c>
      <c r="E345">
        <v>0</v>
      </c>
      <c r="F345">
        <v>0</v>
      </c>
      <c r="G345" t="str">
        <v/>
      </c>
    </row>
    <row r="346" spans="2:7" x14ac:dyDescent="0.25">
      <c r="B346" t="str">
        <v/>
      </c>
      <c r="C346">
        <v>0</v>
      </c>
      <c r="D346">
        <v>0</v>
      </c>
      <c r="E346">
        <v>0</v>
      </c>
      <c r="F346">
        <v>0</v>
      </c>
      <c r="G346" t="str">
        <v/>
      </c>
    </row>
    <row r="347" spans="2:7" x14ac:dyDescent="0.25">
      <c r="B347" t="str">
        <v/>
      </c>
      <c r="C347">
        <v>0</v>
      </c>
      <c r="D347">
        <v>0</v>
      </c>
      <c r="E347">
        <v>0</v>
      </c>
      <c r="F347">
        <v>0</v>
      </c>
      <c r="G347" t="str">
        <v/>
      </c>
    </row>
    <row r="348" spans="2:7" x14ac:dyDescent="0.25">
      <c r="B348" t="str">
        <v/>
      </c>
      <c r="C348">
        <v>0</v>
      </c>
      <c r="D348">
        <v>0</v>
      </c>
      <c r="E348">
        <v>0</v>
      </c>
      <c r="F348">
        <v>0</v>
      </c>
      <c r="G348" t="str">
        <v/>
      </c>
    </row>
    <row r="349" spans="2:7" x14ac:dyDescent="0.25">
      <c r="B349" t="str">
        <v/>
      </c>
      <c r="C349">
        <v>0</v>
      </c>
      <c r="D349">
        <v>0</v>
      </c>
      <c r="E349">
        <v>0</v>
      </c>
      <c r="F349">
        <v>0</v>
      </c>
      <c r="G349" t="str">
        <v/>
      </c>
    </row>
    <row r="350" spans="2:7" x14ac:dyDescent="0.25">
      <c r="B350" t="str">
        <v/>
      </c>
      <c r="C350">
        <v>0</v>
      </c>
      <c r="D350">
        <v>0</v>
      </c>
      <c r="E350">
        <v>0</v>
      </c>
      <c r="F350">
        <v>0</v>
      </c>
      <c r="G350" t="str">
        <v/>
      </c>
    </row>
    <row r="351" spans="2:7" x14ac:dyDescent="0.25">
      <c r="B351" t="str">
        <v/>
      </c>
      <c r="C351">
        <v>0</v>
      </c>
      <c r="D351">
        <v>0</v>
      </c>
      <c r="E351">
        <v>0</v>
      </c>
      <c r="F351">
        <v>0</v>
      </c>
      <c r="G351" t="str">
        <v/>
      </c>
    </row>
    <row r="352" spans="2:7" x14ac:dyDescent="0.25">
      <c r="B352" t="str">
        <v/>
      </c>
      <c r="C352">
        <v>0</v>
      </c>
      <c r="D352">
        <v>0</v>
      </c>
      <c r="E352">
        <v>0</v>
      </c>
      <c r="F352">
        <v>0</v>
      </c>
      <c r="G352" t="str">
        <v/>
      </c>
    </row>
    <row r="353" spans="2:7" x14ac:dyDescent="0.25">
      <c r="B353" t="str">
        <v/>
      </c>
      <c r="C353">
        <v>0</v>
      </c>
      <c r="D353">
        <v>0</v>
      </c>
      <c r="E353">
        <v>0</v>
      </c>
      <c r="F353">
        <v>0</v>
      </c>
      <c r="G353" t="str">
        <v/>
      </c>
    </row>
    <row r="354" spans="2:7" x14ac:dyDescent="0.25">
      <c r="B354" t="str">
        <v/>
      </c>
      <c r="C354">
        <v>0</v>
      </c>
      <c r="D354">
        <v>0</v>
      </c>
      <c r="E354">
        <v>0</v>
      </c>
      <c r="F354">
        <v>0</v>
      </c>
      <c r="G354" t="str">
        <v/>
      </c>
    </row>
    <row r="355" spans="2:7" x14ac:dyDescent="0.25">
      <c r="B355" t="str">
        <v/>
      </c>
      <c r="C355">
        <v>0</v>
      </c>
      <c r="D355">
        <v>0</v>
      </c>
      <c r="E355">
        <v>0</v>
      </c>
      <c r="F355">
        <v>0</v>
      </c>
      <c r="G355" t="str">
        <v/>
      </c>
    </row>
    <row r="356" spans="2:7" x14ac:dyDescent="0.25">
      <c r="B356" t="str">
        <v/>
      </c>
      <c r="C356">
        <v>0</v>
      </c>
      <c r="D356">
        <v>0</v>
      </c>
      <c r="E356">
        <v>0</v>
      </c>
      <c r="F356">
        <v>0</v>
      </c>
      <c r="G356" t="str">
        <v/>
      </c>
    </row>
    <row r="357" spans="2:7" x14ac:dyDescent="0.25">
      <c r="B357" t="str">
        <v/>
      </c>
      <c r="C357">
        <v>0</v>
      </c>
      <c r="D357">
        <v>0</v>
      </c>
      <c r="E357">
        <v>0</v>
      </c>
      <c r="F357">
        <v>0</v>
      </c>
      <c r="G357" t="str">
        <v/>
      </c>
    </row>
    <row r="358" spans="2:7" x14ac:dyDescent="0.25">
      <c r="B358" t="str">
        <v/>
      </c>
      <c r="C358">
        <v>0</v>
      </c>
      <c r="D358">
        <v>0</v>
      </c>
      <c r="E358">
        <v>0</v>
      </c>
      <c r="F358">
        <v>0</v>
      </c>
      <c r="G358" t="str">
        <v/>
      </c>
    </row>
    <row r="359" spans="2:7" x14ac:dyDescent="0.25">
      <c r="B359" t="str">
        <v/>
      </c>
      <c r="C359">
        <v>0</v>
      </c>
      <c r="D359">
        <v>0</v>
      </c>
      <c r="E359">
        <v>0</v>
      </c>
      <c r="F359">
        <v>0</v>
      </c>
      <c r="G359" t="str">
        <v/>
      </c>
    </row>
    <row r="360" spans="2:7" x14ac:dyDescent="0.25">
      <c r="B360" t="str">
        <v/>
      </c>
      <c r="C360">
        <v>0</v>
      </c>
      <c r="D360">
        <v>0</v>
      </c>
      <c r="E360">
        <v>0</v>
      </c>
      <c r="F360">
        <v>0</v>
      </c>
      <c r="G360" t="str">
        <v/>
      </c>
    </row>
    <row r="361" spans="2:7" x14ac:dyDescent="0.25">
      <c r="B361" t="str">
        <v/>
      </c>
      <c r="C361">
        <v>0</v>
      </c>
      <c r="D361">
        <v>0</v>
      </c>
      <c r="E361">
        <v>0</v>
      </c>
      <c r="F361">
        <v>0</v>
      </c>
      <c r="G361" t="str">
        <v/>
      </c>
    </row>
    <row r="362" spans="2:7" x14ac:dyDescent="0.25">
      <c r="B362" t="str">
        <v/>
      </c>
      <c r="C362">
        <v>0</v>
      </c>
      <c r="D362">
        <v>0</v>
      </c>
      <c r="E362">
        <v>0</v>
      </c>
      <c r="F362">
        <v>0</v>
      </c>
      <c r="G362" t="str">
        <v/>
      </c>
    </row>
    <row r="363" spans="2:7" x14ac:dyDescent="0.25">
      <c r="B363" t="str">
        <v/>
      </c>
      <c r="C363">
        <v>0</v>
      </c>
      <c r="D363">
        <v>0</v>
      </c>
      <c r="E363">
        <v>0</v>
      </c>
      <c r="F363">
        <v>0</v>
      </c>
      <c r="G363" t="str">
        <v/>
      </c>
    </row>
    <row r="364" spans="2:7" x14ac:dyDescent="0.25">
      <c r="B364" t="str">
        <v/>
      </c>
      <c r="C364">
        <v>0</v>
      </c>
      <c r="D364">
        <v>0</v>
      </c>
      <c r="E364">
        <v>0</v>
      </c>
      <c r="F364">
        <v>0</v>
      </c>
      <c r="G364" t="str">
        <v/>
      </c>
    </row>
    <row r="365" spans="2:7" x14ac:dyDescent="0.25">
      <c r="B365" t="str">
        <v/>
      </c>
      <c r="C365">
        <v>0</v>
      </c>
      <c r="D365">
        <v>0</v>
      </c>
      <c r="E365">
        <v>0</v>
      </c>
      <c r="F365">
        <v>0</v>
      </c>
      <c r="G365" t="str">
        <v/>
      </c>
    </row>
    <row r="366" spans="2:7" x14ac:dyDescent="0.25">
      <c r="B366" t="str">
        <v/>
      </c>
      <c r="C366">
        <v>0</v>
      </c>
      <c r="D366">
        <v>0</v>
      </c>
      <c r="E366">
        <v>0</v>
      </c>
      <c r="F366">
        <v>0</v>
      </c>
      <c r="G366" t="str">
        <v/>
      </c>
    </row>
    <row r="367" spans="2:7" x14ac:dyDescent="0.25">
      <c r="B367" t="str">
        <v/>
      </c>
      <c r="C367">
        <v>0</v>
      </c>
      <c r="D367">
        <v>0</v>
      </c>
      <c r="E367">
        <v>0</v>
      </c>
      <c r="F367">
        <v>0</v>
      </c>
      <c r="G367" t="str">
        <v/>
      </c>
    </row>
    <row r="368" spans="2:7" x14ac:dyDescent="0.25">
      <c r="B368" t="str">
        <v/>
      </c>
      <c r="C368">
        <v>0</v>
      </c>
      <c r="D368">
        <v>0</v>
      </c>
      <c r="E368">
        <v>0</v>
      </c>
      <c r="F368">
        <v>0</v>
      </c>
      <c r="G368" t="str">
        <v/>
      </c>
    </row>
    <row r="369" spans="2:7" x14ac:dyDescent="0.25">
      <c r="B369" t="str">
        <v/>
      </c>
      <c r="C369">
        <v>0</v>
      </c>
      <c r="D369">
        <v>0</v>
      </c>
      <c r="E369">
        <v>0</v>
      </c>
      <c r="F369">
        <v>0</v>
      </c>
      <c r="G369" t="str">
        <v/>
      </c>
    </row>
    <row r="370" spans="2:7" x14ac:dyDescent="0.25">
      <c r="B370" t="str">
        <v/>
      </c>
      <c r="C370">
        <v>0</v>
      </c>
      <c r="D370">
        <v>0</v>
      </c>
      <c r="E370">
        <v>0</v>
      </c>
      <c r="F370">
        <v>0</v>
      </c>
      <c r="G370" t="str">
        <v/>
      </c>
    </row>
    <row r="371" spans="2:7" x14ac:dyDescent="0.25">
      <c r="B371" t="str">
        <v/>
      </c>
      <c r="C371">
        <v>0</v>
      </c>
      <c r="D371">
        <v>0</v>
      </c>
      <c r="E371">
        <v>0</v>
      </c>
      <c r="F371">
        <v>0</v>
      </c>
      <c r="G371" t="str">
        <v/>
      </c>
    </row>
    <row r="372" spans="2:7" x14ac:dyDescent="0.25">
      <c r="B372" t="str">
        <v/>
      </c>
      <c r="C372">
        <v>0</v>
      </c>
      <c r="D372">
        <v>0</v>
      </c>
      <c r="E372">
        <v>0</v>
      </c>
      <c r="F372">
        <v>0</v>
      </c>
      <c r="G372" t="str">
        <v/>
      </c>
    </row>
    <row r="373" spans="2:7" x14ac:dyDescent="0.25">
      <c r="B373" t="str">
        <v/>
      </c>
      <c r="C373">
        <v>0</v>
      </c>
      <c r="D373">
        <v>0</v>
      </c>
      <c r="E373">
        <v>0</v>
      </c>
      <c r="F373">
        <v>0</v>
      </c>
      <c r="G373" t="str">
        <v/>
      </c>
    </row>
    <row r="374" spans="2:7" x14ac:dyDescent="0.25">
      <c r="B374" t="str">
        <v/>
      </c>
      <c r="C374">
        <v>0</v>
      </c>
      <c r="D374">
        <v>0</v>
      </c>
      <c r="E374">
        <v>0</v>
      </c>
      <c r="F374">
        <v>0</v>
      </c>
      <c r="G374" t="str">
        <v/>
      </c>
    </row>
    <row r="375" spans="2:7" x14ac:dyDescent="0.25">
      <c r="B375" t="str">
        <v/>
      </c>
      <c r="C375">
        <v>0</v>
      </c>
      <c r="D375">
        <v>0</v>
      </c>
      <c r="E375">
        <v>0</v>
      </c>
      <c r="F375">
        <v>0</v>
      </c>
      <c r="G375" t="str">
        <v/>
      </c>
    </row>
    <row r="376" spans="2:7" x14ac:dyDescent="0.25">
      <c r="B376" t="str">
        <v/>
      </c>
      <c r="C376">
        <v>0</v>
      </c>
      <c r="D376">
        <v>0</v>
      </c>
      <c r="E376">
        <v>0</v>
      </c>
      <c r="F376">
        <v>0</v>
      </c>
      <c r="G376" t="str">
        <v/>
      </c>
    </row>
    <row r="377" spans="2:7" x14ac:dyDescent="0.25">
      <c r="B377" t="str">
        <v/>
      </c>
      <c r="C377">
        <v>0</v>
      </c>
      <c r="D377">
        <v>0</v>
      </c>
      <c r="E377">
        <v>0</v>
      </c>
      <c r="F377">
        <v>0</v>
      </c>
      <c r="G377" t="str">
        <v/>
      </c>
    </row>
    <row r="378" spans="2:7" x14ac:dyDescent="0.25">
      <c r="B378" t="str">
        <v/>
      </c>
      <c r="C378">
        <v>0</v>
      </c>
      <c r="D378">
        <v>0</v>
      </c>
      <c r="E378">
        <v>0</v>
      </c>
      <c r="F378">
        <v>0</v>
      </c>
      <c r="G378" t="str">
        <v/>
      </c>
    </row>
    <row r="379" spans="2:7" x14ac:dyDescent="0.25">
      <c r="B379" t="str">
        <v/>
      </c>
      <c r="C379">
        <v>0</v>
      </c>
      <c r="D379">
        <v>0</v>
      </c>
      <c r="E379">
        <v>0</v>
      </c>
      <c r="F379">
        <v>0</v>
      </c>
      <c r="G379" t="str">
        <v/>
      </c>
    </row>
    <row r="380" spans="2:7" x14ac:dyDescent="0.25">
      <c r="B380" t="str">
        <v/>
      </c>
      <c r="C380">
        <v>0</v>
      </c>
      <c r="D380">
        <v>0</v>
      </c>
      <c r="E380">
        <v>0</v>
      </c>
      <c r="F380">
        <v>0</v>
      </c>
      <c r="G380" t="str">
        <v/>
      </c>
    </row>
    <row r="381" spans="2:7" x14ac:dyDescent="0.25">
      <c r="B381" t="str">
        <v/>
      </c>
      <c r="C381">
        <v>0</v>
      </c>
      <c r="D381">
        <v>0</v>
      </c>
      <c r="E381">
        <v>0</v>
      </c>
      <c r="F381">
        <v>0</v>
      </c>
      <c r="G381" t="str">
        <v/>
      </c>
    </row>
    <row r="382" spans="2:7" x14ac:dyDescent="0.25">
      <c r="B382" t="str">
        <v/>
      </c>
      <c r="C382">
        <v>0</v>
      </c>
      <c r="D382">
        <v>0</v>
      </c>
      <c r="E382">
        <v>0</v>
      </c>
      <c r="F382">
        <v>0</v>
      </c>
      <c r="G382" t="str">
        <v/>
      </c>
    </row>
    <row r="383" spans="2:7" x14ac:dyDescent="0.25">
      <c r="B383" t="str">
        <v/>
      </c>
      <c r="C383">
        <v>0</v>
      </c>
      <c r="D383">
        <v>0</v>
      </c>
      <c r="E383">
        <v>0</v>
      </c>
      <c r="F383">
        <v>0</v>
      </c>
      <c r="G383" t="str">
        <v/>
      </c>
    </row>
    <row r="384" spans="2:7" x14ac:dyDescent="0.25">
      <c r="B384" t="str">
        <v/>
      </c>
      <c r="C384">
        <v>0</v>
      </c>
      <c r="D384">
        <v>0</v>
      </c>
      <c r="E384">
        <v>0</v>
      </c>
      <c r="F384">
        <v>0</v>
      </c>
      <c r="G384" t="str">
        <v/>
      </c>
    </row>
    <row r="385" spans="2:7" x14ac:dyDescent="0.25">
      <c r="B385" t="str">
        <v/>
      </c>
      <c r="C385">
        <v>0</v>
      </c>
      <c r="D385">
        <v>0</v>
      </c>
      <c r="E385">
        <v>0</v>
      </c>
      <c r="F385">
        <v>0</v>
      </c>
      <c r="G385" t="str">
        <v/>
      </c>
    </row>
    <row r="386" spans="2:7" x14ac:dyDescent="0.25">
      <c r="B386" t="str">
        <v/>
      </c>
      <c r="C386">
        <v>0</v>
      </c>
      <c r="D386">
        <v>0</v>
      </c>
      <c r="E386">
        <v>0</v>
      </c>
      <c r="F386">
        <v>0</v>
      </c>
      <c r="G386" t="str">
        <v/>
      </c>
    </row>
    <row r="387" spans="2:7" x14ac:dyDescent="0.25">
      <c r="B387" t="str">
        <v/>
      </c>
      <c r="C387">
        <v>0</v>
      </c>
      <c r="D387">
        <v>0</v>
      </c>
      <c r="E387">
        <v>0</v>
      </c>
      <c r="F387">
        <v>0</v>
      </c>
      <c r="G387" t="str">
        <v/>
      </c>
    </row>
    <row r="388" spans="2:7" x14ac:dyDescent="0.25">
      <c r="B388" t="str">
        <v/>
      </c>
      <c r="C388">
        <v>0</v>
      </c>
      <c r="D388">
        <v>0</v>
      </c>
      <c r="E388">
        <v>0</v>
      </c>
      <c r="F388">
        <v>0</v>
      </c>
      <c r="G388" t="str">
        <v/>
      </c>
    </row>
    <row r="389" spans="2:7" x14ac:dyDescent="0.25">
      <c r="B389" t="str">
        <v/>
      </c>
      <c r="C389">
        <v>0</v>
      </c>
      <c r="D389">
        <v>0</v>
      </c>
      <c r="E389">
        <v>0</v>
      </c>
      <c r="F389">
        <v>0</v>
      </c>
      <c r="G389" t="str">
        <v/>
      </c>
    </row>
    <row r="390" spans="2:7" x14ac:dyDescent="0.25">
      <c r="B390" t="str">
        <v/>
      </c>
      <c r="C390">
        <v>0</v>
      </c>
      <c r="D390">
        <v>0</v>
      </c>
      <c r="E390">
        <v>0</v>
      </c>
      <c r="F390">
        <v>0</v>
      </c>
      <c r="G390" t="str">
        <v/>
      </c>
    </row>
    <row r="391" spans="2:7" x14ac:dyDescent="0.25">
      <c r="B391" t="str">
        <v/>
      </c>
      <c r="C391">
        <v>0</v>
      </c>
      <c r="D391">
        <v>0</v>
      </c>
      <c r="E391">
        <v>0</v>
      </c>
      <c r="F391">
        <v>0</v>
      </c>
      <c r="G391" t="str">
        <v/>
      </c>
    </row>
    <row r="392" spans="2:7" x14ac:dyDescent="0.25">
      <c r="B392" t="str">
        <v/>
      </c>
      <c r="C392">
        <v>0</v>
      </c>
      <c r="D392">
        <v>0</v>
      </c>
      <c r="E392">
        <v>0</v>
      </c>
      <c r="F392">
        <v>0</v>
      </c>
      <c r="G392" t="str">
        <v/>
      </c>
    </row>
    <row r="393" spans="2:7" x14ac:dyDescent="0.25">
      <c r="B393" t="str">
        <v/>
      </c>
      <c r="C393">
        <v>0</v>
      </c>
      <c r="D393">
        <v>0</v>
      </c>
      <c r="E393">
        <v>0</v>
      </c>
      <c r="F393">
        <v>0</v>
      </c>
      <c r="G393" t="str">
        <v/>
      </c>
    </row>
    <row r="394" spans="2:7" x14ac:dyDescent="0.25">
      <c r="B394" t="str">
        <v/>
      </c>
      <c r="C394">
        <v>0</v>
      </c>
      <c r="D394">
        <v>0</v>
      </c>
      <c r="E394">
        <v>0</v>
      </c>
      <c r="F394">
        <v>0</v>
      </c>
      <c r="G394" t="str">
        <v/>
      </c>
    </row>
    <row r="395" spans="2:7" x14ac:dyDescent="0.25">
      <c r="B395" t="str">
        <v/>
      </c>
      <c r="C395">
        <v>0</v>
      </c>
      <c r="D395">
        <v>0</v>
      </c>
      <c r="E395">
        <v>0</v>
      </c>
      <c r="F395">
        <v>0</v>
      </c>
      <c r="G395" t="str">
        <v/>
      </c>
    </row>
    <row r="396" spans="2:7" x14ac:dyDescent="0.25">
      <c r="B396" t="str">
        <v/>
      </c>
      <c r="C396">
        <v>0</v>
      </c>
      <c r="D396">
        <v>0</v>
      </c>
      <c r="E396">
        <v>0</v>
      </c>
      <c r="F396">
        <v>0</v>
      </c>
      <c r="G396" t="str">
        <v/>
      </c>
    </row>
    <row r="397" spans="2:7" x14ac:dyDescent="0.25">
      <c r="B397" t="str">
        <v/>
      </c>
      <c r="C397">
        <v>0</v>
      </c>
      <c r="D397">
        <v>0</v>
      </c>
      <c r="E397">
        <v>0</v>
      </c>
      <c r="F397">
        <v>0</v>
      </c>
      <c r="G397" t="str">
        <v/>
      </c>
    </row>
    <row r="398" spans="2:7" x14ac:dyDescent="0.25">
      <c r="B398" t="str">
        <v/>
      </c>
      <c r="C398">
        <v>0</v>
      </c>
      <c r="D398">
        <v>0</v>
      </c>
      <c r="E398">
        <v>0</v>
      </c>
      <c r="F398">
        <v>0</v>
      </c>
      <c r="G398" t="str">
        <v/>
      </c>
    </row>
    <row r="399" spans="2:7" x14ac:dyDescent="0.25">
      <c r="B399" t="str">
        <v/>
      </c>
      <c r="C399">
        <v>0</v>
      </c>
      <c r="D399">
        <v>0</v>
      </c>
      <c r="E399">
        <v>0</v>
      </c>
      <c r="F399">
        <v>0</v>
      </c>
      <c r="G399" t="str">
        <v/>
      </c>
    </row>
    <row r="400" spans="2:7" x14ac:dyDescent="0.25">
      <c r="B400" t="str">
        <v/>
      </c>
      <c r="C400">
        <v>0</v>
      </c>
      <c r="D400">
        <v>0</v>
      </c>
      <c r="E400">
        <v>0</v>
      </c>
      <c r="F400">
        <v>0</v>
      </c>
      <c r="G400" t="str">
        <v/>
      </c>
    </row>
    <row r="401" spans="2:7" x14ac:dyDescent="0.25">
      <c r="B401" t="str">
        <v/>
      </c>
      <c r="C401">
        <v>0</v>
      </c>
      <c r="D401">
        <v>0</v>
      </c>
      <c r="E401">
        <v>0</v>
      </c>
      <c r="F401">
        <v>0</v>
      </c>
      <c r="G401" t="str">
        <v/>
      </c>
    </row>
    <row r="402" spans="2:7" x14ac:dyDescent="0.25">
      <c r="B402" t="str">
        <v/>
      </c>
      <c r="C402">
        <v>0</v>
      </c>
      <c r="D402">
        <v>0</v>
      </c>
      <c r="E402">
        <v>0</v>
      </c>
      <c r="F402">
        <v>0</v>
      </c>
      <c r="G402" t="str">
        <v/>
      </c>
    </row>
    <row r="403" spans="2:7" x14ac:dyDescent="0.25">
      <c r="B403" t="str">
        <v/>
      </c>
      <c r="C403">
        <v>0</v>
      </c>
      <c r="D403">
        <v>0</v>
      </c>
      <c r="E403">
        <v>0</v>
      </c>
      <c r="F403">
        <v>0</v>
      </c>
      <c r="G403" t="str">
        <v/>
      </c>
    </row>
    <row r="404" spans="2:7" x14ac:dyDescent="0.25">
      <c r="B404" t="str">
        <v/>
      </c>
      <c r="C404">
        <v>0</v>
      </c>
      <c r="D404">
        <v>0</v>
      </c>
      <c r="E404">
        <v>0</v>
      </c>
      <c r="F404">
        <v>0</v>
      </c>
      <c r="G404" t="str">
        <v/>
      </c>
    </row>
    <row r="405" spans="2:7" x14ac:dyDescent="0.25">
      <c r="B405" t="str">
        <v/>
      </c>
      <c r="C405">
        <v>0</v>
      </c>
      <c r="D405">
        <v>0</v>
      </c>
      <c r="E405">
        <v>0</v>
      </c>
      <c r="F405">
        <v>0</v>
      </c>
      <c r="G405" t="str">
        <v/>
      </c>
    </row>
    <row r="406" spans="2:7" x14ac:dyDescent="0.25">
      <c r="B406" t="str">
        <v/>
      </c>
      <c r="C406">
        <v>0</v>
      </c>
      <c r="D406">
        <v>0</v>
      </c>
      <c r="E406">
        <v>0</v>
      </c>
      <c r="F406">
        <v>0</v>
      </c>
      <c r="G406" t="str">
        <v/>
      </c>
    </row>
    <row r="407" spans="2:7" x14ac:dyDescent="0.25">
      <c r="B407" t="str">
        <v/>
      </c>
      <c r="C407">
        <v>0</v>
      </c>
      <c r="D407">
        <v>0</v>
      </c>
      <c r="E407">
        <v>0</v>
      </c>
      <c r="F407">
        <v>0</v>
      </c>
      <c r="G407" t="str">
        <v/>
      </c>
    </row>
    <row r="408" spans="2:7" x14ac:dyDescent="0.25">
      <c r="B408" t="str">
        <v/>
      </c>
      <c r="C408">
        <v>0</v>
      </c>
      <c r="D408">
        <v>0</v>
      </c>
      <c r="E408">
        <v>0</v>
      </c>
      <c r="F408">
        <v>0</v>
      </c>
      <c r="G408" t="str">
        <v/>
      </c>
    </row>
    <row r="409" spans="2:7" x14ac:dyDescent="0.25">
      <c r="B409" t="str">
        <v/>
      </c>
      <c r="C409">
        <v>0</v>
      </c>
      <c r="D409">
        <v>0</v>
      </c>
      <c r="E409">
        <v>0</v>
      </c>
      <c r="F409">
        <v>0</v>
      </c>
      <c r="G409" t="str">
        <v/>
      </c>
    </row>
    <row r="410" spans="2:7" x14ac:dyDescent="0.25">
      <c r="B410" t="str">
        <v/>
      </c>
      <c r="C410">
        <v>0</v>
      </c>
      <c r="D410">
        <v>0</v>
      </c>
      <c r="E410">
        <v>0</v>
      </c>
      <c r="F410">
        <v>0</v>
      </c>
      <c r="G410" t="str">
        <v/>
      </c>
    </row>
    <row r="411" spans="2:7" x14ac:dyDescent="0.25">
      <c r="B411" t="str">
        <v/>
      </c>
      <c r="C411">
        <v>0</v>
      </c>
      <c r="D411">
        <v>0</v>
      </c>
      <c r="E411">
        <v>0</v>
      </c>
      <c r="F411">
        <v>0</v>
      </c>
      <c r="G411" t="str">
        <v/>
      </c>
    </row>
    <row r="412" spans="2:7" x14ac:dyDescent="0.25">
      <c r="B412" t="str">
        <v/>
      </c>
      <c r="C412">
        <v>0</v>
      </c>
      <c r="D412">
        <v>0</v>
      </c>
      <c r="E412">
        <v>0</v>
      </c>
      <c r="F412">
        <v>0</v>
      </c>
      <c r="G412" t="str">
        <v/>
      </c>
    </row>
    <row r="413" spans="2:7" x14ac:dyDescent="0.25">
      <c r="B413" t="str">
        <v/>
      </c>
      <c r="C413">
        <v>0</v>
      </c>
      <c r="D413">
        <v>0</v>
      </c>
      <c r="E413">
        <v>0</v>
      </c>
      <c r="F413">
        <v>0</v>
      </c>
      <c r="G413" t="str">
        <v/>
      </c>
    </row>
    <row r="414" spans="2:7" x14ac:dyDescent="0.25">
      <c r="B414" t="str">
        <v/>
      </c>
      <c r="C414">
        <v>0</v>
      </c>
      <c r="D414">
        <v>0</v>
      </c>
      <c r="E414">
        <v>0</v>
      </c>
      <c r="F414">
        <v>0</v>
      </c>
      <c r="G414" t="str">
        <v/>
      </c>
    </row>
    <row r="415" spans="2:7" x14ac:dyDescent="0.25">
      <c r="B415" t="str">
        <v/>
      </c>
      <c r="C415">
        <v>0</v>
      </c>
      <c r="D415">
        <v>0</v>
      </c>
      <c r="E415">
        <v>0</v>
      </c>
      <c r="F415">
        <v>0</v>
      </c>
      <c r="G415" t="str">
        <v/>
      </c>
    </row>
    <row r="416" spans="2:7" x14ac:dyDescent="0.25">
      <c r="B416" t="str">
        <v/>
      </c>
      <c r="C416">
        <v>0</v>
      </c>
      <c r="D416">
        <v>0</v>
      </c>
      <c r="E416">
        <v>0</v>
      </c>
      <c r="F416">
        <v>0</v>
      </c>
      <c r="G416" t="str">
        <v/>
      </c>
    </row>
    <row r="417" spans="2:7" x14ac:dyDescent="0.25">
      <c r="B417" t="str">
        <v/>
      </c>
      <c r="C417">
        <v>0</v>
      </c>
      <c r="D417">
        <v>0</v>
      </c>
      <c r="E417">
        <v>0</v>
      </c>
      <c r="F417">
        <v>0</v>
      </c>
      <c r="G417" t="str">
        <v/>
      </c>
    </row>
    <row r="418" spans="2:7" x14ac:dyDescent="0.25">
      <c r="B418" t="str">
        <v/>
      </c>
      <c r="C418">
        <v>0</v>
      </c>
      <c r="D418">
        <v>0</v>
      </c>
      <c r="E418">
        <v>0</v>
      </c>
      <c r="F418">
        <v>0</v>
      </c>
      <c r="G418" t="str">
        <v/>
      </c>
    </row>
    <row r="419" spans="2:7" x14ac:dyDescent="0.25">
      <c r="B419" t="str">
        <v/>
      </c>
      <c r="C419">
        <v>0</v>
      </c>
      <c r="D419">
        <v>0</v>
      </c>
      <c r="E419">
        <v>0</v>
      </c>
      <c r="F419">
        <v>0</v>
      </c>
      <c r="G419" t="str">
        <v/>
      </c>
    </row>
    <row r="420" spans="2:7" x14ac:dyDescent="0.25">
      <c r="B420" t="str">
        <v/>
      </c>
      <c r="C420">
        <v>0</v>
      </c>
      <c r="D420">
        <v>0</v>
      </c>
      <c r="E420">
        <v>0</v>
      </c>
      <c r="F420">
        <v>0</v>
      </c>
      <c r="G420" t="str">
        <v/>
      </c>
    </row>
    <row r="421" spans="2:7" x14ac:dyDescent="0.25">
      <c r="B421" t="str">
        <v/>
      </c>
      <c r="C421">
        <v>0</v>
      </c>
      <c r="D421">
        <v>0</v>
      </c>
      <c r="E421">
        <v>0</v>
      </c>
      <c r="F421">
        <v>0</v>
      </c>
      <c r="G421" t="str">
        <v/>
      </c>
    </row>
    <row r="422" spans="2:7" x14ac:dyDescent="0.25">
      <c r="B422" t="str">
        <v/>
      </c>
      <c r="C422">
        <v>0</v>
      </c>
      <c r="D422">
        <v>0</v>
      </c>
      <c r="E422">
        <v>0</v>
      </c>
      <c r="F422">
        <v>0</v>
      </c>
      <c r="G422" t="str">
        <v/>
      </c>
    </row>
    <row r="423" spans="2:7" x14ac:dyDescent="0.25">
      <c r="B423" t="str">
        <v/>
      </c>
      <c r="C423">
        <v>0</v>
      </c>
      <c r="D423">
        <v>0</v>
      </c>
      <c r="E423">
        <v>0</v>
      </c>
      <c r="F423">
        <v>0</v>
      </c>
      <c r="G423" t="str">
        <v/>
      </c>
    </row>
    <row r="424" spans="2:7" x14ac:dyDescent="0.25">
      <c r="B424" t="str">
        <v/>
      </c>
      <c r="C424">
        <v>0</v>
      </c>
      <c r="D424">
        <v>0</v>
      </c>
      <c r="E424">
        <v>0</v>
      </c>
      <c r="F424">
        <v>0</v>
      </c>
      <c r="G424" t="str">
        <v/>
      </c>
    </row>
    <row r="425" spans="2:7" x14ac:dyDescent="0.25">
      <c r="B425" t="str">
        <v/>
      </c>
      <c r="C425">
        <v>0</v>
      </c>
      <c r="D425">
        <v>0</v>
      </c>
      <c r="E425">
        <v>0</v>
      </c>
      <c r="F425">
        <v>0</v>
      </c>
      <c r="G425" t="str">
        <v/>
      </c>
    </row>
    <row r="426" spans="2:7" x14ac:dyDescent="0.25">
      <c r="B426" t="str">
        <v/>
      </c>
      <c r="C426">
        <v>0</v>
      </c>
      <c r="D426">
        <v>0</v>
      </c>
      <c r="E426">
        <v>0</v>
      </c>
      <c r="F426">
        <v>0</v>
      </c>
      <c r="G426" t="str">
        <v/>
      </c>
    </row>
    <row r="427" spans="2:7" x14ac:dyDescent="0.25">
      <c r="B427" t="str">
        <v/>
      </c>
      <c r="C427">
        <v>0</v>
      </c>
      <c r="D427">
        <v>0</v>
      </c>
      <c r="E427">
        <v>0</v>
      </c>
      <c r="F427">
        <v>0</v>
      </c>
      <c r="G427" t="str">
        <v/>
      </c>
    </row>
    <row r="428" spans="2:7" x14ac:dyDescent="0.25">
      <c r="B428" t="str">
        <v/>
      </c>
      <c r="C428">
        <v>0</v>
      </c>
      <c r="D428">
        <v>0</v>
      </c>
      <c r="E428">
        <v>0</v>
      </c>
      <c r="F428">
        <v>0</v>
      </c>
      <c r="G428" t="str">
        <v/>
      </c>
    </row>
    <row r="429" spans="2:7" x14ac:dyDescent="0.25">
      <c r="B429" t="str">
        <v/>
      </c>
      <c r="C429">
        <v>0</v>
      </c>
      <c r="D429">
        <v>0</v>
      </c>
      <c r="E429">
        <v>0</v>
      </c>
      <c r="F429">
        <v>0</v>
      </c>
      <c r="G429" t="str">
        <v/>
      </c>
    </row>
    <row r="430" spans="2:7" x14ac:dyDescent="0.25">
      <c r="B430" t="str">
        <v/>
      </c>
      <c r="C430">
        <v>0</v>
      </c>
      <c r="D430">
        <v>0</v>
      </c>
      <c r="E430">
        <v>0</v>
      </c>
      <c r="F430">
        <v>0</v>
      </c>
      <c r="G430" t="str">
        <v/>
      </c>
    </row>
    <row r="431" spans="2:7" x14ac:dyDescent="0.25">
      <c r="B431" t="str">
        <v/>
      </c>
      <c r="C431">
        <v>0</v>
      </c>
      <c r="D431">
        <v>0</v>
      </c>
      <c r="E431">
        <v>0</v>
      </c>
      <c r="F431">
        <v>0</v>
      </c>
      <c r="G431" t="str">
        <v/>
      </c>
    </row>
    <row r="432" spans="2:7" x14ac:dyDescent="0.25">
      <c r="B432" t="str">
        <v/>
      </c>
      <c r="C432">
        <v>0</v>
      </c>
      <c r="D432">
        <v>0</v>
      </c>
      <c r="E432">
        <v>0</v>
      </c>
      <c r="F432">
        <v>0</v>
      </c>
      <c r="G432" t="str">
        <v/>
      </c>
    </row>
    <row r="433" spans="2:7" x14ac:dyDescent="0.25">
      <c r="B433" t="str">
        <v/>
      </c>
      <c r="C433">
        <v>0</v>
      </c>
      <c r="D433">
        <v>0</v>
      </c>
      <c r="E433">
        <v>0</v>
      </c>
      <c r="F433">
        <v>0</v>
      </c>
      <c r="G433" t="str">
        <v/>
      </c>
    </row>
    <row r="434" spans="2:7" x14ac:dyDescent="0.25">
      <c r="B434" t="str">
        <v/>
      </c>
      <c r="C434">
        <v>0</v>
      </c>
      <c r="D434">
        <v>0</v>
      </c>
      <c r="E434">
        <v>0</v>
      </c>
      <c r="F434">
        <v>0</v>
      </c>
      <c r="G434" t="str">
        <v/>
      </c>
    </row>
    <row r="435" spans="2:7" x14ac:dyDescent="0.25">
      <c r="B435" t="str">
        <v/>
      </c>
      <c r="C435">
        <v>0</v>
      </c>
      <c r="D435">
        <v>0</v>
      </c>
      <c r="E435">
        <v>0</v>
      </c>
      <c r="F435">
        <v>0</v>
      </c>
      <c r="G435" t="str">
        <v/>
      </c>
    </row>
    <row r="436" spans="2:7" x14ac:dyDescent="0.25">
      <c r="B436" t="str">
        <v/>
      </c>
      <c r="C436">
        <v>0</v>
      </c>
      <c r="D436">
        <v>0</v>
      </c>
      <c r="E436">
        <v>0</v>
      </c>
      <c r="F436">
        <v>0</v>
      </c>
      <c r="G436" t="str">
        <v/>
      </c>
    </row>
    <row r="437" spans="2:7" x14ac:dyDescent="0.25">
      <c r="B437" t="str">
        <v/>
      </c>
      <c r="C437">
        <v>0</v>
      </c>
      <c r="D437">
        <v>0</v>
      </c>
      <c r="E437">
        <v>0</v>
      </c>
      <c r="F437">
        <v>0</v>
      </c>
      <c r="G437" t="str">
        <v/>
      </c>
    </row>
    <row r="438" spans="2:7" x14ac:dyDescent="0.25">
      <c r="B438" t="str">
        <v/>
      </c>
      <c r="C438">
        <v>0</v>
      </c>
      <c r="D438">
        <v>0</v>
      </c>
      <c r="E438">
        <v>0</v>
      </c>
      <c r="F438">
        <v>0</v>
      </c>
      <c r="G438" t="str">
        <v/>
      </c>
    </row>
    <row r="439" spans="2:7" x14ac:dyDescent="0.25">
      <c r="B439" t="str">
        <v/>
      </c>
      <c r="C439">
        <v>0</v>
      </c>
      <c r="D439">
        <v>0</v>
      </c>
      <c r="E439">
        <v>0</v>
      </c>
      <c r="F439">
        <v>0</v>
      </c>
      <c r="G439" t="str">
        <v/>
      </c>
    </row>
    <row r="440" spans="2:7" x14ac:dyDescent="0.25">
      <c r="B440" t="str">
        <v/>
      </c>
      <c r="C440">
        <v>0</v>
      </c>
      <c r="D440">
        <v>0</v>
      </c>
      <c r="E440">
        <v>0</v>
      </c>
      <c r="F440">
        <v>0</v>
      </c>
      <c r="G440" t="str">
        <v/>
      </c>
    </row>
    <row r="441" spans="2:7" x14ac:dyDescent="0.25">
      <c r="B441" t="str">
        <v/>
      </c>
      <c r="C441">
        <v>0</v>
      </c>
      <c r="D441">
        <v>0</v>
      </c>
      <c r="E441">
        <v>0</v>
      </c>
      <c r="F441">
        <v>0</v>
      </c>
      <c r="G441" t="str">
        <v/>
      </c>
    </row>
    <row r="442" spans="2:7" x14ac:dyDescent="0.25">
      <c r="B442" t="str">
        <v/>
      </c>
      <c r="C442">
        <v>0</v>
      </c>
      <c r="D442">
        <v>0</v>
      </c>
      <c r="E442">
        <v>0</v>
      </c>
      <c r="F442">
        <v>0</v>
      </c>
      <c r="G442" t="str">
        <v/>
      </c>
    </row>
    <row r="443" spans="2:7" x14ac:dyDescent="0.25">
      <c r="B443" t="str">
        <v/>
      </c>
      <c r="C443">
        <v>0</v>
      </c>
      <c r="D443">
        <v>0</v>
      </c>
      <c r="E443">
        <v>0</v>
      </c>
      <c r="F443">
        <v>0</v>
      </c>
      <c r="G443" t="str">
        <v/>
      </c>
    </row>
    <row r="444" spans="2:7" x14ac:dyDescent="0.25">
      <c r="B444" t="str">
        <v/>
      </c>
      <c r="C444">
        <v>0</v>
      </c>
      <c r="D444">
        <v>0</v>
      </c>
      <c r="E444">
        <v>0</v>
      </c>
      <c r="F444">
        <v>0</v>
      </c>
      <c r="G444" t="str">
        <v/>
      </c>
    </row>
    <row r="445" spans="2:7" x14ac:dyDescent="0.25">
      <c r="B445" t="str">
        <v/>
      </c>
      <c r="C445">
        <v>0</v>
      </c>
      <c r="D445">
        <v>0</v>
      </c>
      <c r="E445">
        <v>0</v>
      </c>
      <c r="F445">
        <v>0</v>
      </c>
      <c r="G445" t="str">
        <v/>
      </c>
    </row>
    <row r="446" spans="2:7" x14ac:dyDescent="0.25">
      <c r="B446" t="str">
        <v/>
      </c>
      <c r="C446">
        <v>0</v>
      </c>
      <c r="D446">
        <v>0</v>
      </c>
      <c r="E446">
        <v>0</v>
      </c>
      <c r="F446">
        <v>0</v>
      </c>
      <c r="G446" t="str">
        <v/>
      </c>
    </row>
    <row r="447" spans="2:7" x14ac:dyDescent="0.25">
      <c r="B447" t="str">
        <v/>
      </c>
      <c r="C447">
        <v>0</v>
      </c>
      <c r="D447">
        <v>0</v>
      </c>
      <c r="E447">
        <v>0</v>
      </c>
      <c r="F447">
        <v>0</v>
      </c>
      <c r="G447" t="str">
        <v/>
      </c>
    </row>
    <row r="448" spans="2:7" x14ac:dyDescent="0.25">
      <c r="B448" t="str">
        <v/>
      </c>
      <c r="C448">
        <v>0</v>
      </c>
      <c r="D448">
        <v>0</v>
      </c>
      <c r="E448">
        <v>0</v>
      </c>
      <c r="F448">
        <v>0</v>
      </c>
      <c r="G448" t="str">
        <v/>
      </c>
    </row>
    <row r="449" spans="2:7" x14ac:dyDescent="0.25">
      <c r="B449" t="str">
        <v/>
      </c>
      <c r="C449">
        <v>0</v>
      </c>
      <c r="D449">
        <v>0</v>
      </c>
      <c r="E449">
        <v>0</v>
      </c>
      <c r="F449">
        <v>0</v>
      </c>
      <c r="G449" t="str">
        <v/>
      </c>
    </row>
    <row r="450" spans="2:7" x14ac:dyDescent="0.25">
      <c r="B450" t="str">
        <v/>
      </c>
      <c r="C450">
        <v>0</v>
      </c>
      <c r="D450">
        <v>0</v>
      </c>
      <c r="E450">
        <v>0</v>
      </c>
      <c r="F450">
        <v>0</v>
      </c>
      <c r="G450" t="str">
        <v/>
      </c>
    </row>
    <row r="451" spans="2:7" x14ac:dyDescent="0.25">
      <c r="B451" t="str">
        <v/>
      </c>
      <c r="C451">
        <v>0</v>
      </c>
      <c r="D451">
        <v>0</v>
      </c>
      <c r="E451">
        <v>0</v>
      </c>
      <c r="F451">
        <v>0</v>
      </c>
      <c r="G451" t="str">
        <v/>
      </c>
    </row>
    <row r="452" spans="2:7" x14ac:dyDescent="0.25">
      <c r="B452" t="str">
        <v/>
      </c>
      <c r="C452">
        <v>0</v>
      </c>
      <c r="D452">
        <v>0</v>
      </c>
      <c r="E452">
        <v>0</v>
      </c>
      <c r="F452">
        <v>0</v>
      </c>
      <c r="G452" t="str">
        <v/>
      </c>
    </row>
    <row r="453" spans="2:7" x14ac:dyDescent="0.25">
      <c r="B453" t="str">
        <v/>
      </c>
      <c r="C453">
        <v>0</v>
      </c>
      <c r="D453">
        <v>0</v>
      </c>
      <c r="E453">
        <v>0</v>
      </c>
      <c r="F453">
        <v>0</v>
      </c>
      <c r="G453" t="str">
        <v/>
      </c>
    </row>
    <row r="454" spans="2:7" x14ac:dyDescent="0.25">
      <c r="B454" t="str">
        <v/>
      </c>
      <c r="C454">
        <v>0</v>
      </c>
      <c r="D454">
        <v>0</v>
      </c>
      <c r="E454">
        <v>0</v>
      </c>
      <c r="F454">
        <v>0</v>
      </c>
      <c r="G454" t="str">
        <v/>
      </c>
    </row>
    <row r="455" spans="2:7" x14ac:dyDescent="0.25">
      <c r="B455" t="str">
        <v/>
      </c>
      <c r="C455">
        <v>0</v>
      </c>
      <c r="D455">
        <v>0</v>
      </c>
      <c r="E455">
        <v>0</v>
      </c>
      <c r="F455">
        <v>0</v>
      </c>
      <c r="G455" t="str">
        <v/>
      </c>
    </row>
    <row r="456" spans="2:7" x14ac:dyDescent="0.25">
      <c r="B456" t="str">
        <v/>
      </c>
      <c r="C456">
        <v>0</v>
      </c>
      <c r="D456">
        <v>0</v>
      </c>
      <c r="E456">
        <v>0</v>
      </c>
      <c r="F456">
        <v>0</v>
      </c>
      <c r="G456" t="str">
        <v/>
      </c>
    </row>
    <row r="457" spans="2:7" x14ac:dyDescent="0.25">
      <c r="B457" t="str">
        <v/>
      </c>
      <c r="C457">
        <v>0</v>
      </c>
      <c r="D457">
        <v>0</v>
      </c>
      <c r="E457">
        <v>0</v>
      </c>
      <c r="F457">
        <v>0</v>
      </c>
      <c r="G457" t="str">
        <v/>
      </c>
    </row>
    <row r="458" spans="2:7" x14ac:dyDescent="0.25">
      <c r="B458" t="str">
        <v/>
      </c>
      <c r="C458">
        <v>0</v>
      </c>
      <c r="D458">
        <v>0</v>
      </c>
      <c r="E458">
        <v>0</v>
      </c>
      <c r="F458">
        <v>0</v>
      </c>
      <c r="G458" t="str">
        <v/>
      </c>
    </row>
    <row r="459" spans="2:7" x14ac:dyDescent="0.25">
      <c r="B459" t="str">
        <v/>
      </c>
      <c r="C459">
        <v>0</v>
      </c>
      <c r="D459">
        <v>0</v>
      </c>
      <c r="E459">
        <v>0</v>
      </c>
      <c r="F459">
        <v>0</v>
      </c>
      <c r="G459" t="str">
        <v/>
      </c>
    </row>
    <row r="460" spans="2:7" x14ac:dyDescent="0.25">
      <c r="B460" t="str">
        <v/>
      </c>
      <c r="C460">
        <v>0</v>
      </c>
      <c r="D460">
        <v>0</v>
      </c>
      <c r="E460">
        <v>0</v>
      </c>
      <c r="F460">
        <v>0</v>
      </c>
      <c r="G460" t="str">
        <v/>
      </c>
    </row>
    <row r="461" spans="2:7" x14ac:dyDescent="0.25">
      <c r="B461" t="str">
        <v/>
      </c>
      <c r="C461">
        <v>0</v>
      </c>
      <c r="D461">
        <v>0</v>
      </c>
      <c r="E461">
        <v>0</v>
      </c>
      <c r="F461">
        <v>0</v>
      </c>
      <c r="G461" t="str">
        <v/>
      </c>
    </row>
    <row r="462" spans="2:7" x14ac:dyDescent="0.25">
      <c r="B462" t="str">
        <v/>
      </c>
      <c r="C462">
        <v>0</v>
      </c>
      <c r="D462">
        <v>0</v>
      </c>
      <c r="E462">
        <v>0</v>
      </c>
      <c r="F462">
        <v>0</v>
      </c>
      <c r="G462" t="str">
        <v/>
      </c>
    </row>
    <row r="463" spans="2:7" x14ac:dyDescent="0.25">
      <c r="B463" t="str">
        <v/>
      </c>
      <c r="C463">
        <v>0</v>
      </c>
      <c r="D463">
        <v>0</v>
      </c>
      <c r="E463">
        <v>0</v>
      </c>
      <c r="F463">
        <v>0</v>
      </c>
      <c r="G463" t="str">
        <v/>
      </c>
    </row>
    <row r="464" spans="2:7" x14ac:dyDescent="0.25">
      <c r="B464" t="str">
        <v/>
      </c>
      <c r="C464">
        <v>0</v>
      </c>
      <c r="D464">
        <v>0</v>
      </c>
      <c r="E464">
        <v>0</v>
      </c>
      <c r="F464">
        <v>0</v>
      </c>
      <c r="G464" t="str">
        <v/>
      </c>
    </row>
    <row r="465" spans="2:7" x14ac:dyDescent="0.25">
      <c r="B465" t="str">
        <v/>
      </c>
      <c r="C465">
        <v>0</v>
      </c>
      <c r="D465">
        <v>0</v>
      </c>
      <c r="E465">
        <v>0</v>
      </c>
      <c r="F465">
        <v>0</v>
      </c>
      <c r="G465" t="str">
        <v/>
      </c>
    </row>
    <row r="466" spans="2:7" x14ac:dyDescent="0.25">
      <c r="B466" t="str">
        <v/>
      </c>
      <c r="C466">
        <v>0</v>
      </c>
      <c r="D466">
        <v>0</v>
      </c>
      <c r="E466">
        <v>0</v>
      </c>
      <c r="F466">
        <v>0</v>
      </c>
      <c r="G466" t="str">
        <v/>
      </c>
    </row>
    <row r="467" spans="2:7" x14ac:dyDescent="0.25">
      <c r="B467" t="str">
        <v/>
      </c>
      <c r="C467">
        <v>0</v>
      </c>
      <c r="D467">
        <v>0</v>
      </c>
      <c r="E467">
        <v>0</v>
      </c>
      <c r="F467">
        <v>0</v>
      </c>
      <c r="G467" t="str">
        <v/>
      </c>
    </row>
    <row r="468" spans="2:7" x14ac:dyDescent="0.25">
      <c r="B468" t="str">
        <v/>
      </c>
      <c r="C468">
        <v>0</v>
      </c>
      <c r="D468">
        <v>0</v>
      </c>
      <c r="E468">
        <v>0</v>
      </c>
      <c r="F468">
        <v>0</v>
      </c>
      <c r="G468" t="str">
        <v/>
      </c>
    </row>
    <row r="469" spans="2:7" x14ac:dyDescent="0.25">
      <c r="B469" t="str">
        <v/>
      </c>
      <c r="C469">
        <v>0</v>
      </c>
      <c r="D469">
        <v>0</v>
      </c>
      <c r="E469">
        <v>0</v>
      </c>
      <c r="F469">
        <v>0</v>
      </c>
      <c r="G469" t="str">
        <v/>
      </c>
    </row>
    <row r="470" spans="2:7" x14ac:dyDescent="0.25">
      <c r="B470" t="str">
        <v/>
      </c>
      <c r="C470">
        <v>0</v>
      </c>
      <c r="D470">
        <v>0</v>
      </c>
      <c r="E470">
        <v>0</v>
      </c>
      <c r="F470">
        <v>0</v>
      </c>
      <c r="G470" t="str">
        <v/>
      </c>
    </row>
    <row r="471" spans="2:7" x14ac:dyDescent="0.25">
      <c r="B471" t="str">
        <v/>
      </c>
      <c r="C471">
        <v>0</v>
      </c>
      <c r="D471">
        <v>0</v>
      </c>
      <c r="E471">
        <v>0</v>
      </c>
      <c r="F471">
        <v>0</v>
      </c>
      <c r="G471" t="str">
        <v/>
      </c>
    </row>
    <row r="472" spans="2:7" x14ac:dyDescent="0.25">
      <c r="B472" t="str">
        <v/>
      </c>
      <c r="C472">
        <v>0</v>
      </c>
      <c r="D472">
        <v>0</v>
      </c>
      <c r="E472">
        <v>0</v>
      </c>
      <c r="F472">
        <v>0</v>
      </c>
      <c r="G472" t="str">
        <v/>
      </c>
    </row>
    <row r="473" spans="2:7" x14ac:dyDescent="0.25">
      <c r="B473" t="str">
        <v/>
      </c>
      <c r="C473">
        <v>0</v>
      </c>
      <c r="D473">
        <v>0</v>
      </c>
      <c r="E473">
        <v>0</v>
      </c>
      <c r="F473">
        <v>0</v>
      </c>
      <c r="G473" t="str">
        <v/>
      </c>
    </row>
    <row r="474" spans="2:7" x14ac:dyDescent="0.25">
      <c r="B474" t="str">
        <v/>
      </c>
      <c r="C474">
        <v>0</v>
      </c>
      <c r="D474">
        <v>0</v>
      </c>
      <c r="E474">
        <v>0</v>
      </c>
      <c r="F474">
        <v>0</v>
      </c>
      <c r="G474" t="str">
        <v/>
      </c>
    </row>
    <row r="475" spans="2:7" x14ac:dyDescent="0.25">
      <c r="B475" t="str">
        <v/>
      </c>
      <c r="C475">
        <v>0</v>
      </c>
      <c r="D475">
        <v>0</v>
      </c>
      <c r="E475">
        <v>0</v>
      </c>
      <c r="F475">
        <v>0</v>
      </c>
      <c r="G475" t="str">
        <v/>
      </c>
    </row>
    <row r="476" spans="2:7" x14ac:dyDescent="0.25">
      <c r="B476" t="str">
        <v/>
      </c>
      <c r="C476">
        <v>0</v>
      </c>
      <c r="D476">
        <v>0</v>
      </c>
      <c r="E476">
        <v>0</v>
      </c>
      <c r="F476">
        <v>0</v>
      </c>
      <c r="G476" t="str">
        <v/>
      </c>
    </row>
    <row r="477" spans="2:7" x14ac:dyDescent="0.25">
      <c r="B477" t="str">
        <v/>
      </c>
      <c r="C477">
        <v>0</v>
      </c>
      <c r="D477">
        <v>0</v>
      </c>
      <c r="E477">
        <v>0</v>
      </c>
      <c r="F477">
        <v>0</v>
      </c>
      <c r="G477" t="str">
        <v/>
      </c>
    </row>
    <row r="478" spans="2:7" x14ac:dyDescent="0.25">
      <c r="B478" t="str">
        <v/>
      </c>
      <c r="C478">
        <v>0</v>
      </c>
      <c r="D478">
        <v>0</v>
      </c>
      <c r="E478">
        <v>0</v>
      </c>
      <c r="F478">
        <v>0</v>
      </c>
      <c r="G478" t="str">
        <v/>
      </c>
    </row>
    <row r="479" spans="2:7" x14ac:dyDescent="0.25">
      <c r="B479" t="str">
        <v/>
      </c>
      <c r="C479">
        <v>0</v>
      </c>
      <c r="D479">
        <v>0</v>
      </c>
      <c r="E479">
        <v>0</v>
      </c>
      <c r="F479">
        <v>0</v>
      </c>
      <c r="G479" t="str">
        <v/>
      </c>
    </row>
    <row r="480" spans="2:7" x14ac:dyDescent="0.25">
      <c r="B480" t="str">
        <v/>
      </c>
      <c r="C480">
        <v>0</v>
      </c>
      <c r="D480">
        <v>0</v>
      </c>
      <c r="E480">
        <v>0</v>
      </c>
      <c r="F480">
        <v>0</v>
      </c>
      <c r="G480" t="str">
        <v/>
      </c>
    </row>
    <row r="481" spans="2:7" x14ac:dyDescent="0.25">
      <c r="B481" t="str">
        <v/>
      </c>
      <c r="C481">
        <v>0</v>
      </c>
      <c r="D481">
        <v>0</v>
      </c>
      <c r="E481">
        <v>0</v>
      </c>
      <c r="F481">
        <v>0</v>
      </c>
      <c r="G481" t="str">
        <v/>
      </c>
    </row>
    <row r="482" spans="2:7" x14ac:dyDescent="0.25">
      <c r="B482" t="str">
        <v/>
      </c>
      <c r="C482">
        <v>0</v>
      </c>
      <c r="D482">
        <v>0</v>
      </c>
      <c r="E482">
        <v>0</v>
      </c>
      <c r="F482">
        <v>0</v>
      </c>
      <c r="G482" t="str">
        <v/>
      </c>
    </row>
    <row r="483" spans="2:7" x14ac:dyDescent="0.25">
      <c r="B483" t="str">
        <v/>
      </c>
      <c r="C483">
        <v>0</v>
      </c>
      <c r="D483">
        <v>0</v>
      </c>
      <c r="E483">
        <v>0</v>
      </c>
      <c r="F483">
        <v>0</v>
      </c>
      <c r="G483" t="str">
        <v/>
      </c>
    </row>
    <row r="484" spans="2:7" x14ac:dyDescent="0.25">
      <c r="B484" t="str">
        <v/>
      </c>
      <c r="C484">
        <v>0</v>
      </c>
      <c r="D484">
        <v>0</v>
      </c>
      <c r="E484">
        <v>0</v>
      </c>
      <c r="F484">
        <v>0</v>
      </c>
      <c r="G484" t="str">
        <v/>
      </c>
    </row>
    <row r="485" spans="2:7" x14ac:dyDescent="0.25">
      <c r="B485" t="str">
        <v/>
      </c>
      <c r="C485">
        <v>0</v>
      </c>
      <c r="D485">
        <v>0</v>
      </c>
      <c r="E485">
        <v>0</v>
      </c>
      <c r="F485">
        <v>0</v>
      </c>
      <c r="G485" t="str">
        <v/>
      </c>
    </row>
    <row r="486" spans="2:7" x14ac:dyDescent="0.25">
      <c r="B486" t="str">
        <v/>
      </c>
      <c r="C486">
        <v>0</v>
      </c>
      <c r="D486">
        <v>0</v>
      </c>
      <c r="E486">
        <v>0</v>
      </c>
      <c r="F486">
        <v>0</v>
      </c>
      <c r="G486" t="str">
        <v/>
      </c>
    </row>
    <row r="487" spans="2:7" x14ac:dyDescent="0.25">
      <c r="B487" t="str">
        <v/>
      </c>
      <c r="C487">
        <v>0</v>
      </c>
      <c r="D487">
        <v>0</v>
      </c>
      <c r="E487">
        <v>0</v>
      </c>
      <c r="F487">
        <v>0</v>
      </c>
      <c r="G487" t="str">
        <v/>
      </c>
    </row>
    <row r="488" spans="2:7" x14ac:dyDescent="0.25">
      <c r="B488" t="str">
        <v/>
      </c>
      <c r="C488">
        <v>0</v>
      </c>
      <c r="D488">
        <v>0</v>
      </c>
      <c r="E488">
        <v>0</v>
      </c>
      <c r="F488">
        <v>0</v>
      </c>
      <c r="G488" t="str">
        <v/>
      </c>
    </row>
    <row r="489" spans="2:7" x14ac:dyDescent="0.25">
      <c r="B489" t="str">
        <v/>
      </c>
      <c r="C489">
        <v>0</v>
      </c>
      <c r="D489">
        <v>0</v>
      </c>
      <c r="E489">
        <v>0</v>
      </c>
      <c r="F489">
        <v>0</v>
      </c>
      <c r="G489" t="str">
        <v/>
      </c>
    </row>
    <row r="490" spans="2:7" x14ac:dyDescent="0.25">
      <c r="B490" t="str">
        <v/>
      </c>
      <c r="C490">
        <v>0</v>
      </c>
      <c r="D490">
        <v>0</v>
      </c>
      <c r="E490">
        <v>0</v>
      </c>
      <c r="F490">
        <v>0</v>
      </c>
      <c r="G490" t="str">
        <v/>
      </c>
    </row>
    <row r="491" spans="2:7" x14ac:dyDescent="0.25">
      <c r="B491" t="str">
        <v/>
      </c>
      <c r="C491">
        <v>0</v>
      </c>
      <c r="D491">
        <v>0</v>
      </c>
      <c r="E491">
        <v>0</v>
      </c>
      <c r="F491">
        <v>0</v>
      </c>
      <c r="G491" t="str">
        <v/>
      </c>
    </row>
    <row r="492" spans="2:7" x14ac:dyDescent="0.25">
      <c r="B492" t="str">
        <v/>
      </c>
      <c r="C492">
        <v>0</v>
      </c>
      <c r="D492">
        <v>0</v>
      </c>
      <c r="E492">
        <v>0</v>
      </c>
      <c r="F492">
        <v>0</v>
      </c>
      <c r="G492" t="str">
        <v/>
      </c>
    </row>
    <row r="493" spans="2:7" x14ac:dyDescent="0.25">
      <c r="B493" t="str">
        <v/>
      </c>
      <c r="C493">
        <v>0</v>
      </c>
      <c r="D493">
        <v>0</v>
      </c>
      <c r="E493">
        <v>0</v>
      </c>
      <c r="F493">
        <v>0</v>
      </c>
      <c r="G493" t="str">
        <v/>
      </c>
    </row>
    <row r="494" spans="2:7" x14ac:dyDescent="0.25">
      <c r="B494" t="str">
        <v/>
      </c>
      <c r="C494">
        <v>0</v>
      </c>
      <c r="D494">
        <v>0</v>
      </c>
      <c r="E494">
        <v>0</v>
      </c>
      <c r="F494">
        <v>0</v>
      </c>
      <c r="G494" t="str">
        <v/>
      </c>
    </row>
    <row r="495" spans="2:7" x14ac:dyDescent="0.25">
      <c r="B495" t="str">
        <v/>
      </c>
      <c r="C495">
        <v>0</v>
      </c>
      <c r="D495">
        <v>0</v>
      </c>
      <c r="E495">
        <v>0</v>
      </c>
      <c r="F495">
        <v>0</v>
      </c>
      <c r="G495" t="str">
        <v/>
      </c>
    </row>
    <row r="496" spans="2:7" x14ac:dyDescent="0.25">
      <c r="B496" t="str">
        <v/>
      </c>
      <c r="C496">
        <v>0</v>
      </c>
      <c r="D496">
        <v>0</v>
      </c>
      <c r="E496">
        <v>0</v>
      </c>
      <c r="F496">
        <v>0</v>
      </c>
      <c r="G496" t="str">
        <v/>
      </c>
    </row>
    <row r="497" spans="2:7" x14ac:dyDescent="0.25">
      <c r="B497" t="str">
        <v/>
      </c>
      <c r="C497">
        <v>0</v>
      </c>
      <c r="D497">
        <v>0</v>
      </c>
      <c r="E497">
        <v>0</v>
      </c>
      <c r="F497">
        <v>0</v>
      </c>
      <c r="G497" t="str">
        <v/>
      </c>
    </row>
    <row r="498" spans="2:7" x14ac:dyDescent="0.25">
      <c r="B498" t="str">
        <v/>
      </c>
      <c r="C498">
        <v>0</v>
      </c>
      <c r="D498">
        <v>0</v>
      </c>
      <c r="E498">
        <v>0</v>
      </c>
      <c r="F498">
        <v>0</v>
      </c>
      <c r="G498" t="str">
        <v/>
      </c>
    </row>
    <row r="499" spans="2:7" x14ac:dyDescent="0.25">
      <c r="B499" t="str">
        <v/>
      </c>
      <c r="C499">
        <v>0</v>
      </c>
      <c r="D499">
        <v>0</v>
      </c>
      <c r="E499">
        <v>0</v>
      </c>
      <c r="F499">
        <v>0</v>
      </c>
      <c r="G499" t="str">
        <v/>
      </c>
    </row>
    <row r="500" spans="2:7" x14ac:dyDescent="0.25">
      <c r="B500" t="str">
        <v/>
      </c>
      <c r="C500">
        <v>0</v>
      </c>
      <c r="D500">
        <v>0</v>
      </c>
      <c r="E500">
        <v>0</v>
      </c>
      <c r="F500">
        <v>0</v>
      </c>
      <c r="G500" t="str">
        <v/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9F2E9-3F7B-48B7-A927-EA069FB49331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21D77-E1DF-4DD5-9D96-854F9CD721A5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F7F71-1532-4728-A3EC-FE22742B2953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6F2C-CF44-4841-91CB-5FD77B91C510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FC198-0F40-4435-8B38-E27C3F1EF43F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dimension ref="B2:K8"/>
  <sheetViews>
    <sheetView workbookViewId="0">
      <selection activeCell="B2" sqref="B2"/>
    </sheetView>
  </sheetViews>
  <sheetFormatPr defaultRowHeight="15" x14ac:dyDescent="0.25"/>
  <cols>
    <col min="1" max="1" width="2.85546875" customWidth="1"/>
    <col min="2" max="2" width="30.42578125" style="58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8" bestFit="1" customWidth="1"/>
    <col min="10" max="10" width="2.85546875" customWidth="1"/>
    <col min="11" max="11" width="12.5703125" style="58" bestFit="1" customWidth="1"/>
  </cols>
  <sheetData>
    <row r="2" spans="2:11" ht="30" customHeight="1" x14ac:dyDescent="0.25">
      <c r="B2" s="72" t="s">
        <v>64</v>
      </c>
      <c r="C2" s="38"/>
      <c r="D2" s="126" t="s">
        <v>70</v>
      </c>
      <c r="E2" s="126"/>
      <c r="F2" s="38"/>
      <c r="G2" s="72" t="s">
        <v>75</v>
      </c>
      <c r="I2" s="74" t="s">
        <v>80</v>
      </c>
      <c r="K2" s="74" t="s">
        <v>87</v>
      </c>
    </row>
    <row r="3" spans="2:11" ht="15" customHeight="1" x14ac:dyDescent="0.25">
      <c r="B3" s="58" t="s">
        <v>65</v>
      </c>
      <c r="C3" s="38"/>
      <c r="D3" t="s">
        <v>70</v>
      </c>
      <c r="E3" t="s">
        <v>13</v>
      </c>
      <c r="G3" s="2" t="s">
        <v>75</v>
      </c>
      <c r="I3" s="58" t="s">
        <v>80</v>
      </c>
      <c r="K3" s="58" t="s">
        <v>87</v>
      </c>
    </row>
    <row r="4" spans="2:11" x14ac:dyDescent="0.25">
      <c r="B4" s="58" t="s">
        <v>66</v>
      </c>
      <c r="D4" s="58" t="s">
        <v>71</v>
      </c>
      <c r="E4" t="s">
        <v>79</v>
      </c>
      <c r="G4" s="2" t="s">
        <v>76</v>
      </c>
      <c r="I4" s="58" t="s">
        <v>81</v>
      </c>
      <c r="K4" s="58" t="s">
        <v>88</v>
      </c>
    </row>
    <row r="5" spans="2:11" x14ac:dyDescent="0.25">
      <c r="B5" s="58" t="s">
        <v>83</v>
      </c>
      <c r="D5" s="58" t="s">
        <v>72</v>
      </c>
      <c r="E5" t="s">
        <v>78</v>
      </c>
      <c r="G5" s="2" t="s">
        <v>77</v>
      </c>
      <c r="I5" s="58" t="s">
        <v>82</v>
      </c>
    </row>
    <row r="6" spans="2:11" x14ac:dyDescent="0.25">
      <c r="B6" s="58" t="s">
        <v>67</v>
      </c>
      <c r="D6" s="58" t="s">
        <v>73</v>
      </c>
      <c r="E6" t="s">
        <v>78</v>
      </c>
      <c r="G6" s="2"/>
    </row>
    <row r="7" spans="2:11" x14ac:dyDescent="0.25">
      <c r="B7" s="58" t="s">
        <v>86</v>
      </c>
      <c r="D7" s="58" t="s">
        <v>74</v>
      </c>
      <c r="E7" t="s">
        <v>78</v>
      </c>
      <c r="G7" s="2"/>
    </row>
    <row r="8" spans="2:11" x14ac:dyDescent="0.25">
      <c r="D8" s="58"/>
    </row>
  </sheetData>
  <mergeCells count="1">
    <mergeCell ref="D2:E2"/>
  </mergeCells>
  <pageMargins left="0.511811024" right="0.511811024" top="0.78740157499999996" bottom="0.78740157499999996" header="0.31496062000000002" footer="0.31496062000000002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Tiragem - 1</vt:lpstr>
      <vt:lpstr>Tiragem - 2</vt:lpstr>
      <vt:lpstr>Tiragem - 3</vt:lpstr>
      <vt:lpstr>Tiragem - 4</vt:lpstr>
      <vt:lpstr>Especificações</vt:lpstr>
      <vt:lpstr>PDF</vt:lpstr>
      <vt:lpstr>Papel</vt:lpstr>
      <vt:lpstr>Extras</vt:lpstr>
      <vt:lpstr>Acabamentos</vt:lpstr>
      <vt:lpstr>Produtos</vt:lpstr>
      <vt:lpstr>Formatos</vt:lpstr>
      <vt:lpstr>DadosPapel</vt:lpstr>
      <vt:lpstr>Dados</vt:lpstr>
      <vt:lpstr>Especificações!Area_de_impressao</vt:lpstr>
      <vt:lpstr>PDF!Area_de_impressao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2023-04-10T22:43:28Z</cp:lastPrinted>
  <dcterms:created xsi:type="dcterms:W3CDTF">2019-07-14T11:59:43Z</dcterms:created>
  <dcterms:modified xsi:type="dcterms:W3CDTF">2023-04-14T14:47:35Z</dcterms:modified>
  <cp:category/>
  <cp:contentStatus/>
</cp:coreProperties>
</file>