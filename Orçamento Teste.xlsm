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fe0e514768444a3/Projetos/Orçamento CMYK25/Macros/"/>
    </mc:Choice>
  </mc:AlternateContent>
  <xr:revisionPtr revIDLastSave="33879" documentId="13_ncr:1_{CF603599-A831-4D65-AE46-7ED6F4D669E9}" xr6:coauthVersionLast="47" xr6:coauthVersionMax="47" xr10:uidLastSave="{B61DC21A-EF87-4F84-A975-CCD0A28E1B5F}"/>
  <bookViews>
    <workbookView xWindow="-120" yWindow="-120" windowWidth="29040" windowHeight="15720" activeTab="4" xr2:uid="{38D85A49-6730-4517-AA1D-718A33FFDC57}"/>
  </bookViews>
  <sheets>
    <sheet name="Tiragem - 1" sheetId="86" r:id="rId1"/>
    <sheet name="Tiragem - 2" sheetId="89" r:id="rId2"/>
    <sheet name="Tiragem - 3" sheetId="88" r:id="rId3"/>
    <sheet name="Tiragem - 4" sheetId="96" r:id="rId4"/>
    <sheet name="Especificações" sheetId="87" r:id="rId5"/>
    <sheet name="PDF" sheetId="94" r:id="rId6"/>
    <sheet name="Dados" sheetId="95" r:id="rId7"/>
    <sheet name="PDF - Backup" sheetId="97" r:id="rId8"/>
  </sheets>
  <functionGroups builtInGroupCount="19"/>
  <externalReferences>
    <externalReference r:id="rId9"/>
    <externalReference r:id="rId10"/>
  </externalReferences>
  <definedNames>
    <definedName name="_xlnm.Print_Area" localSheetId="5">PDF!$A$1:$K$49</definedName>
    <definedName name="_xlnm.Print_Area" localSheetId="7">'PDF - Backup'!$A$1:$K$49</definedName>
    <definedName name="Clichê" localSheetId="7">[1]!SelecionaCliche</definedName>
    <definedName name="Clichê">[1]!SelecionaCliche</definedName>
    <definedName name="DefineAcabamento" localSheetId="7">[1]!SelecionarAcabamento</definedName>
    <definedName name="DefineAcabamento">[1]!SelecionarAcabamento</definedName>
    <definedName name="DefineExtra" localSheetId="7">[1]!SelecionarExtra</definedName>
    <definedName name="DefineExtra">[1]!SelecionarExtra</definedName>
    <definedName name="DefineMilheiro" localSheetId="7">[1]!SelecionarMilheiro</definedName>
    <definedName name="DefineMilheiro">[1]!SelecionarMilheiro</definedName>
    <definedName name="Formato" localSheetId="7">[1]!SelecionarFormato</definedName>
    <definedName name="Formato">[1]!SelecionarFormato</definedName>
    <definedName name="PapelTipo" localSheetId="7">[1]!SelecionarPapel</definedName>
    <definedName name="PapelTipo">[1]!SelecionarPapel</definedName>
    <definedName name="PrimeiroEquipamento" localSheetId="7">[1]!SelecionarEquipamento1</definedName>
    <definedName name="PrimeiroEquipamento">[1]!SelecionarEquipamento1</definedName>
    <definedName name="SegundoEquipamento" localSheetId="7">[1]!SelecionarEquipamento2</definedName>
    <definedName name="SegundoEquipamento">[1]!SelecionarEquipamento2</definedName>
    <definedName name="SelecionarPape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" i="87" l="1"/>
  <c r="O12" i="87"/>
  <c r="N12" i="87"/>
  <c r="O10" i="87"/>
  <c r="M7" i="87"/>
  <c r="S48" i="87"/>
  <c r="S47" i="87"/>
  <c r="S45" i="87"/>
  <c r="S44" i="87"/>
  <c r="S42" i="87"/>
  <c r="S41" i="87"/>
  <c r="S39" i="87"/>
  <c r="S38" i="87"/>
  <c r="S32" i="87"/>
  <c r="S31" i="87"/>
  <c r="S29" i="87"/>
  <c r="S28" i="87"/>
  <c r="S26" i="87"/>
  <c r="S25" i="87"/>
  <c r="S23" i="87"/>
  <c r="S22" i="87"/>
  <c r="S17" i="87"/>
  <c r="G22" i="97" s="1"/>
  <c r="S16" i="87"/>
  <c r="G21" i="97" s="1"/>
  <c r="S15" i="87"/>
  <c r="G20" i="97" s="1"/>
  <c r="S14" i="87"/>
  <c r="G19" i="97" s="1"/>
  <c r="S13" i="87"/>
  <c r="S12" i="87"/>
  <c r="G17" i="97" s="1"/>
  <c r="S11" i="87"/>
  <c r="B23" i="97" s="1"/>
  <c r="S10" i="87"/>
  <c r="S9" i="87"/>
  <c r="S8" i="87"/>
  <c r="S7" i="87"/>
  <c r="S6" i="87"/>
  <c r="B18" i="97" s="1"/>
  <c r="S4" i="87"/>
  <c r="B14" i="97" s="1"/>
  <c r="S5" i="87"/>
  <c r="G18" i="97"/>
  <c r="B21" i="97"/>
  <c r="C48" i="97"/>
  <c r="E46" i="97"/>
  <c r="G40" i="97"/>
  <c r="C40" i="97"/>
  <c r="G39" i="97"/>
  <c r="C39" i="97"/>
  <c r="G38" i="97"/>
  <c r="C38" i="97"/>
  <c r="G37" i="97"/>
  <c r="C37" i="97"/>
  <c r="C32" i="97"/>
  <c r="C31" i="97"/>
  <c r="C30" i="97"/>
  <c r="C29" i="97"/>
  <c r="D12" i="97"/>
  <c r="D10" i="97"/>
  <c r="D8" i="97"/>
  <c r="D6" i="97"/>
  <c r="E4" i="97"/>
  <c r="J2" i="97"/>
  <c r="P35" i="96"/>
  <c r="R35" i="96" s="1" a="1"/>
  <c r="R35" i="96" s="1"/>
  <c r="P34" i="96"/>
  <c r="S34" i="96" s="1" a="1"/>
  <c r="S34" i="96" s="1"/>
  <c r="P33" i="96"/>
  <c r="S33" i="96" s="1" a="1"/>
  <c r="S33" i="96" s="1"/>
  <c r="P32" i="96"/>
  <c r="R32" i="96" s="1" a="1"/>
  <c r="R32" i="96" s="1"/>
  <c r="P31" i="96"/>
  <c r="R31" i="96" s="1" a="1"/>
  <c r="R31" i="96" s="1"/>
  <c r="P30" i="96"/>
  <c r="S30" i="96" s="1" a="1"/>
  <c r="S30" i="96" s="1"/>
  <c r="P29" i="96"/>
  <c r="R29" i="96" s="1" a="1"/>
  <c r="R29" i="96" s="1"/>
  <c r="P28" i="96"/>
  <c r="R28" i="96" s="1" a="1"/>
  <c r="R28" i="96" s="1"/>
  <c r="P27" i="96"/>
  <c r="S27" i="96" s="1" a="1"/>
  <c r="S27" i="96" s="1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I14" i="96"/>
  <c r="I13" i="96"/>
  <c r="I12" i="96"/>
  <c r="I11" i="96"/>
  <c r="I10" i="96"/>
  <c r="J7" i="96"/>
  <c r="H7" i="96"/>
  <c r="E7" i="96"/>
  <c r="F7" i="96" s="1"/>
  <c r="J6" i="96"/>
  <c r="H6" i="96"/>
  <c r="E6" i="96"/>
  <c r="F6" i="96" s="1"/>
  <c r="J5" i="96"/>
  <c r="H5" i="96"/>
  <c r="E5" i="96"/>
  <c r="F5" i="96" s="1"/>
  <c r="J4" i="96"/>
  <c r="H4" i="96"/>
  <c r="E4" i="96"/>
  <c r="F4" i="96" s="1"/>
  <c r="J3" i="96"/>
  <c r="H3" i="96"/>
  <c r="E3" i="96"/>
  <c r="F3" i="96" s="1"/>
  <c r="P35" i="88"/>
  <c r="S35" i="88" s="1" a="1"/>
  <c r="S35" i="88" s="1"/>
  <c r="P34" i="88"/>
  <c r="R34" i="88" s="1" a="1"/>
  <c r="R34" i="88" s="1"/>
  <c r="P33" i="88"/>
  <c r="S33" i="88" s="1" a="1"/>
  <c r="S33" i="88" s="1"/>
  <c r="P32" i="88"/>
  <c r="S32" i="88" s="1" a="1"/>
  <c r="S32" i="88" s="1"/>
  <c r="P31" i="88"/>
  <c r="R31" i="88" s="1" a="1"/>
  <c r="R31" i="88" s="1"/>
  <c r="P30" i="88"/>
  <c r="S30" i="88" s="1" a="1"/>
  <c r="S30" i="88" s="1"/>
  <c r="P29" i="88"/>
  <c r="S29" i="88" s="1" a="1"/>
  <c r="S29" i="88" s="1"/>
  <c r="P28" i="88"/>
  <c r="S28" i="88" s="1" a="1"/>
  <c r="S28" i="88" s="1"/>
  <c r="P27" i="88"/>
  <c r="S27" i="88" s="1" a="1"/>
  <c r="S27" i="88" s="1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I14" i="88"/>
  <c r="I13" i="88"/>
  <c r="I12" i="88"/>
  <c r="I11" i="88"/>
  <c r="I10" i="88"/>
  <c r="J7" i="88"/>
  <c r="H7" i="88"/>
  <c r="E7" i="88"/>
  <c r="F7" i="88" s="1"/>
  <c r="J6" i="88"/>
  <c r="H6" i="88"/>
  <c r="E6" i="88"/>
  <c r="F6" i="88" s="1"/>
  <c r="J5" i="88"/>
  <c r="H5" i="88"/>
  <c r="E5" i="88"/>
  <c r="F5" i="88" s="1"/>
  <c r="J4" i="88"/>
  <c r="H4" i="88"/>
  <c r="E4" i="88"/>
  <c r="F4" i="88" s="1"/>
  <c r="J3" i="88"/>
  <c r="H3" i="88"/>
  <c r="F3" i="88"/>
  <c r="E3" i="88"/>
  <c r="P35" i="89"/>
  <c r="R35" i="89" s="1" a="1"/>
  <c r="R35" i="89" s="1"/>
  <c r="P34" i="89"/>
  <c r="S34" i="89" s="1" a="1"/>
  <c r="S34" i="89" s="1"/>
  <c r="P33" i="89"/>
  <c r="S33" i="89" s="1" a="1"/>
  <c r="S33" i="89" s="1"/>
  <c r="P32" i="89"/>
  <c r="S32" i="89" s="1" a="1"/>
  <c r="S32" i="89" s="1"/>
  <c r="P31" i="89"/>
  <c r="R31" i="89" s="1" a="1"/>
  <c r="R31" i="89" s="1"/>
  <c r="P30" i="89"/>
  <c r="R30" i="89" s="1" a="1"/>
  <c r="R30" i="89" s="1"/>
  <c r="P29" i="89"/>
  <c r="S29" i="89" s="1" a="1"/>
  <c r="S29" i="89" s="1"/>
  <c r="P28" i="89"/>
  <c r="S28" i="89" s="1" a="1"/>
  <c r="S28" i="89" s="1"/>
  <c r="P27" i="89"/>
  <c r="R27" i="89" s="1" a="1"/>
  <c r="R27" i="89" s="1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I14" i="89"/>
  <c r="I13" i="89"/>
  <c r="I12" i="89"/>
  <c r="I11" i="89"/>
  <c r="I10" i="89"/>
  <c r="J7" i="89"/>
  <c r="H7" i="89"/>
  <c r="E7" i="89"/>
  <c r="F7" i="89" s="1"/>
  <c r="J6" i="89"/>
  <c r="H6" i="89"/>
  <c r="E6" i="89"/>
  <c r="F6" i="89" s="1"/>
  <c r="J5" i="89"/>
  <c r="H5" i="89"/>
  <c r="E5" i="89"/>
  <c r="F5" i="89" s="1"/>
  <c r="J4" i="89"/>
  <c r="H4" i="89"/>
  <c r="E4" i="89"/>
  <c r="F4" i="89" s="1"/>
  <c r="J3" i="89"/>
  <c r="H3" i="89"/>
  <c r="E3" i="89"/>
  <c r="F3" i="89" s="1"/>
  <c r="R35" i="86" a="1"/>
  <c r="R35" i="86" s="1"/>
  <c r="S33" i="86" a="1"/>
  <c r="S33" i="86" s="1"/>
  <c r="P35" i="86"/>
  <c r="S35" i="86" s="1" a="1"/>
  <c r="S35" i="86" s="1"/>
  <c r="P34" i="86"/>
  <c r="R34" i="86" s="1" a="1"/>
  <c r="R34" i="86" s="1"/>
  <c r="P33" i="86"/>
  <c r="R33" i="86" s="1" a="1"/>
  <c r="R33" i="86" s="1"/>
  <c r="P32" i="86"/>
  <c r="S32" i="86" s="1" a="1"/>
  <c r="S32" i="86" s="1"/>
  <c r="P31" i="86"/>
  <c r="S31" i="86" s="1" a="1"/>
  <c r="S31" i="86" s="1"/>
  <c r="P30" i="86"/>
  <c r="S30" i="86" s="1" a="1"/>
  <c r="S30" i="86" s="1"/>
  <c r="P29" i="86"/>
  <c r="R29" i="86" s="1" a="1"/>
  <c r="R29" i="86" s="1"/>
  <c r="P28" i="86"/>
  <c r="R28" i="86" s="1" a="1"/>
  <c r="R28" i="86" s="1"/>
  <c r="P27" i="86"/>
  <c r="R27" i="86" s="1" a="1"/>
  <c r="R27" i="86" s="1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I14" i="86"/>
  <c r="I13" i="86"/>
  <c r="I12" i="86"/>
  <c r="I11" i="86"/>
  <c r="I10" i="86"/>
  <c r="J7" i="86"/>
  <c r="H7" i="86"/>
  <c r="E7" i="86"/>
  <c r="F7" i="86" s="1"/>
  <c r="J6" i="86"/>
  <c r="H6" i="86"/>
  <c r="E6" i="86"/>
  <c r="F6" i="86" s="1"/>
  <c r="J5" i="86"/>
  <c r="H5" i="86"/>
  <c r="E5" i="86"/>
  <c r="F5" i="86" s="1"/>
  <c r="J4" i="86"/>
  <c r="H4" i="86"/>
  <c r="E4" i="86"/>
  <c r="F4" i="86" s="1"/>
  <c r="J3" i="86"/>
  <c r="H3" i="86"/>
  <c r="E3" i="86"/>
  <c r="F3" i="86" s="1"/>
  <c r="E18" i="96"/>
  <c r="E19" i="96"/>
  <c r="E20" i="96"/>
  <c r="E21" i="96"/>
  <c r="E22" i="96"/>
  <c r="E23" i="96"/>
  <c r="E24" i="96"/>
  <c r="E25" i="96"/>
  <c r="E26" i="96"/>
  <c r="E27" i="96"/>
  <c r="E28" i="96"/>
  <c r="E29" i="96"/>
  <c r="E30" i="96"/>
  <c r="E31" i="96"/>
  <c r="E32" i="96"/>
  <c r="E33" i="96"/>
  <c r="E34" i="96"/>
  <c r="E35" i="96"/>
  <c r="E17" i="96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17" i="88"/>
  <c r="E17" i="89"/>
  <c r="E18" i="89"/>
  <c r="E19" i="89"/>
  <c r="E20" i="89"/>
  <c r="E21" i="89"/>
  <c r="E22" i="89"/>
  <c r="E23" i="89"/>
  <c r="E24" i="89"/>
  <c r="E25" i="89"/>
  <c r="E26" i="89"/>
  <c r="E27" i="89"/>
  <c r="E28" i="89"/>
  <c r="E29" i="89"/>
  <c r="E30" i="89"/>
  <c r="E31" i="89"/>
  <c r="E32" i="89"/>
  <c r="E33" i="89"/>
  <c r="E34" i="89"/>
  <c r="E35" i="89"/>
  <c r="S31" i="88" l="1" a="1"/>
  <c r="S31" i="88" s="1"/>
  <c r="S30" i="89" a="1"/>
  <c r="S30" i="89" s="1"/>
  <c r="S35" i="89" a="1"/>
  <c r="S35" i="89" s="1"/>
  <c r="R30" i="86" a="1"/>
  <c r="R30" i="86" s="1"/>
  <c r="S32" i="96" a="1"/>
  <c r="S32" i="96" s="1"/>
  <c r="R30" i="96" a="1"/>
  <c r="R30" i="96" s="1"/>
  <c r="S31" i="96" a="1"/>
  <c r="S31" i="96" s="1"/>
  <c r="S27" i="89" a="1"/>
  <c r="S27" i="89" s="1"/>
  <c r="R28" i="88" a="1"/>
  <c r="R28" i="88" s="1"/>
  <c r="R34" i="89" a="1"/>
  <c r="R34" i="89" s="1"/>
  <c r="B20" i="97"/>
  <c r="B19" i="97"/>
  <c r="B17" i="97"/>
  <c r="S29" i="96" a="1"/>
  <c r="S29" i="96" s="1"/>
  <c r="R27" i="88" a="1"/>
  <c r="R27" i="88" s="1"/>
  <c r="R28" i="89" a="1"/>
  <c r="R28" i="89" s="1"/>
  <c r="R32" i="86" a="1"/>
  <c r="R32" i="86" s="1"/>
  <c r="R32" i="88" a="1"/>
  <c r="R32" i="88" s="1"/>
  <c r="S34" i="86" a="1"/>
  <c r="S34" i="86" s="1"/>
  <c r="S28" i="96" a="1"/>
  <c r="S28" i="96" s="1"/>
  <c r="S27" i="86" a="1"/>
  <c r="S27" i="86" s="1"/>
  <c r="S34" i="88" a="1"/>
  <c r="S34" i="88" s="1"/>
  <c r="R32" i="89" a="1"/>
  <c r="R32" i="89" s="1"/>
  <c r="R34" i="96" a="1"/>
  <c r="R34" i="96" s="1"/>
  <c r="R30" i="88" a="1"/>
  <c r="R30" i="88" s="1"/>
  <c r="R35" i="88" a="1"/>
  <c r="R35" i="88" s="1"/>
  <c r="R29" i="89" a="1"/>
  <c r="R29" i="89" s="1"/>
  <c r="R33" i="89" a="1"/>
  <c r="R33" i="89" s="1"/>
  <c r="S31" i="89" a="1"/>
  <c r="S31" i="89" s="1"/>
  <c r="R27" i="96" a="1"/>
  <c r="R27" i="96" s="1"/>
  <c r="R33" i="96" a="1"/>
  <c r="R33" i="96" s="1"/>
  <c r="R31" i="86" a="1"/>
  <c r="R31" i="86" s="1"/>
  <c r="S28" i="86" a="1"/>
  <c r="S28" i="86" s="1"/>
  <c r="S29" i="86" a="1"/>
  <c r="S29" i="86" s="1"/>
  <c r="R29" i="88" a="1"/>
  <c r="R29" i="88" s="1"/>
  <c r="R33" i="88" a="1"/>
  <c r="R33" i="88" s="1"/>
  <c r="S35" i="96" a="1"/>
  <c r="S35" i="96" s="1"/>
  <c r="BB35" i="95"/>
  <c r="B22" i="97" s="1"/>
  <c r="C48" i="94" l="1"/>
  <c r="E46" i="94"/>
  <c r="G40" i="94"/>
  <c r="G39" i="94"/>
  <c r="G38" i="94"/>
  <c r="G37" i="94"/>
  <c r="C40" i="94"/>
  <c r="C39" i="94"/>
  <c r="C38" i="94"/>
  <c r="C37" i="94"/>
  <c r="C32" i="94"/>
  <c r="C31" i="94"/>
  <c r="C30" i="94"/>
  <c r="C29" i="94" l="1"/>
  <c r="G18" i="94"/>
  <c r="G19" i="94"/>
  <c r="G20" i="94"/>
  <c r="G21" i="94"/>
  <c r="G22" i="94"/>
  <c r="G17" i="94"/>
  <c r="B23" i="94"/>
  <c r="B22" i="94"/>
  <c r="B20" i="94"/>
  <c r="B21" i="94"/>
  <c r="B19" i="94"/>
  <c r="B18" i="94"/>
  <c r="B17" i="94"/>
  <c r="B14" i="94"/>
  <c r="D12" i="94"/>
  <c r="D10" i="94"/>
  <c r="D8" i="94"/>
  <c r="D6" i="94"/>
  <c r="J2" i="94"/>
  <c r="E4" i="94"/>
  <c r="C32" i="86" l="1"/>
  <c r="E14" i="89" l="1"/>
  <c r="E13" i="89"/>
  <c r="E12" i="89"/>
  <c r="E11" i="89"/>
  <c r="E10" i="89"/>
  <c r="E14" i="88"/>
  <c r="E13" i="88"/>
  <c r="E12" i="88"/>
  <c r="E11" i="88"/>
  <c r="E10" i="88"/>
  <c r="E11" i="96"/>
  <c r="E12" i="96"/>
  <c r="E13" i="96"/>
  <c r="E14" i="96"/>
  <c r="E10" i="96"/>
  <c r="O35" i="89"/>
  <c r="O34" i="89"/>
  <c r="O33" i="89"/>
  <c r="O32" i="89"/>
  <c r="O31" i="89"/>
  <c r="O30" i="89"/>
  <c r="O29" i="89"/>
  <c r="O28" i="89"/>
  <c r="O27" i="89"/>
  <c r="O35" i="88"/>
  <c r="O34" i="88"/>
  <c r="O33" i="88"/>
  <c r="O32" i="88"/>
  <c r="O31" i="88"/>
  <c r="O30" i="88"/>
  <c r="O29" i="88"/>
  <c r="O28" i="88"/>
  <c r="O27" i="88"/>
  <c r="O28" i="96"/>
  <c r="O29" i="96"/>
  <c r="O30" i="96"/>
  <c r="O31" i="96"/>
  <c r="O32" i="96"/>
  <c r="O33" i="96"/>
  <c r="O34" i="96"/>
  <c r="O35" i="96"/>
  <c r="O27" i="96"/>
  <c r="C28" i="89"/>
  <c r="B28" i="89"/>
  <c r="C27" i="89"/>
  <c r="B27" i="89"/>
  <c r="C26" i="89"/>
  <c r="B26" i="89"/>
  <c r="C25" i="89"/>
  <c r="B25" i="89"/>
  <c r="K4" i="89" s="1"/>
  <c r="C24" i="89"/>
  <c r="B24" i="89"/>
  <c r="C28" i="88"/>
  <c r="B28" i="88"/>
  <c r="K7" i="88" s="1"/>
  <c r="C27" i="88"/>
  <c r="B27" i="88"/>
  <c r="C26" i="88"/>
  <c r="B26" i="88"/>
  <c r="C25" i="88"/>
  <c r="B25" i="88"/>
  <c r="K4" i="88" s="1"/>
  <c r="C24" i="88"/>
  <c r="B24" i="88"/>
  <c r="C21" i="89"/>
  <c r="B21" i="89"/>
  <c r="C20" i="89"/>
  <c r="B20" i="89"/>
  <c r="C19" i="89"/>
  <c r="B19" i="89"/>
  <c r="I5" i="89" s="1"/>
  <c r="C18" i="89"/>
  <c r="B18" i="89"/>
  <c r="I4" i="89" s="1"/>
  <c r="C17" i="89"/>
  <c r="B17" i="89"/>
  <c r="C21" i="88"/>
  <c r="B21" i="88"/>
  <c r="C20" i="88"/>
  <c r="B20" i="88"/>
  <c r="C19" i="88"/>
  <c r="B19" i="88"/>
  <c r="C18" i="88"/>
  <c r="B18" i="88"/>
  <c r="I4" i="88" s="1"/>
  <c r="C17" i="88"/>
  <c r="B17" i="88"/>
  <c r="B14" i="89"/>
  <c r="B13" i="89"/>
  <c r="B12" i="89"/>
  <c r="B11" i="89"/>
  <c r="B10" i="89"/>
  <c r="B14" i="88"/>
  <c r="B13" i="88"/>
  <c r="B12" i="88"/>
  <c r="B11" i="88"/>
  <c r="B10" i="88"/>
  <c r="B25" i="96"/>
  <c r="C25" i="96"/>
  <c r="B26" i="96"/>
  <c r="C26" i="96"/>
  <c r="B27" i="96"/>
  <c r="K6" i="96" s="1"/>
  <c r="C27" i="96"/>
  <c r="B28" i="96"/>
  <c r="C28" i="96"/>
  <c r="C24" i="96"/>
  <c r="B24" i="96"/>
  <c r="C18" i="96"/>
  <c r="C19" i="96"/>
  <c r="C20" i="96"/>
  <c r="C21" i="96"/>
  <c r="C17" i="96"/>
  <c r="B18" i="96"/>
  <c r="I4" i="96" s="1"/>
  <c r="B19" i="96"/>
  <c r="B20" i="96"/>
  <c r="I6" i="96" s="1"/>
  <c r="B21" i="96"/>
  <c r="B17" i="96"/>
  <c r="B11" i="96"/>
  <c r="B12" i="96"/>
  <c r="B13" i="96"/>
  <c r="B14" i="96"/>
  <c r="B10" i="96"/>
  <c r="H35" i="96"/>
  <c r="H34" i="96"/>
  <c r="H33" i="96"/>
  <c r="H32" i="96"/>
  <c r="C32" i="96"/>
  <c r="H31" i="96"/>
  <c r="H30" i="96"/>
  <c r="H29" i="96"/>
  <c r="L28" i="96"/>
  <c r="H28" i="96"/>
  <c r="H27" i="96"/>
  <c r="H26" i="96"/>
  <c r="H25" i="96"/>
  <c r="K24" i="96"/>
  <c r="H24" i="96"/>
  <c r="H23" i="96"/>
  <c r="H22" i="96"/>
  <c r="H21" i="96"/>
  <c r="H20" i="96"/>
  <c r="U19" i="96"/>
  <c r="H19" i="96"/>
  <c r="H18" i="96"/>
  <c r="H17" i="96"/>
  <c r="U10" i="96"/>
  <c r="K7" i="96"/>
  <c r="I7" i="96"/>
  <c r="B7" i="96"/>
  <c r="B6" i="96"/>
  <c r="K5" i="96"/>
  <c r="I5" i="96"/>
  <c r="B5" i="96"/>
  <c r="K4" i="96"/>
  <c r="B4" i="96"/>
  <c r="B3" i="96"/>
  <c r="B4" i="88"/>
  <c r="B5" i="88"/>
  <c r="B6" i="88"/>
  <c r="B7" i="88"/>
  <c r="B3" i="88"/>
  <c r="B4" i="89"/>
  <c r="B5" i="89"/>
  <c r="B6" i="89"/>
  <c r="B7" i="89"/>
  <c r="B3" i="89"/>
  <c r="H35" i="88"/>
  <c r="H34" i="88"/>
  <c r="H33" i="88"/>
  <c r="H32" i="88"/>
  <c r="C32" i="88"/>
  <c r="H31" i="88"/>
  <c r="H30" i="88"/>
  <c r="H29" i="88"/>
  <c r="L28" i="88"/>
  <c r="H28" i="88"/>
  <c r="H27" i="88"/>
  <c r="H26" i="88"/>
  <c r="H25" i="88"/>
  <c r="K24" i="88"/>
  <c r="H24" i="88"/>
  <c r="H23" i="88"/>
  <c r="H22" i="88"/>
  <c r="H21" i="88"/>
  <c r="H20" i="88"/>
  <c r="U19" i="88"/>
  <c r="H19" i="88"/>
  <c r="H18" i="88"/>
  <c r="H17" i="88"/>
  <c r="U10" i="88"/>
  <c r="I7" i="88"/>
  <c r="K6" i="88"/>
  <c r="I6" i="88"/>
  <c r="K5" i="88"/>
  <c r="I5" i="88"/>
  <c r="H35" i="89"/>
  <c r="H34" i="89"/>
  <c r="H33" i="89"/>
  <c r="H32" i="89"/>
  <c r="C32" i="89"/>
  <c r="H31" i="89"/>
  <c r="H30" i="89"/>
  <c r="H29" i="89"/>
  <c r="L28" i="89"/>
  <c r="H28" i="89"/>
  <c r="H27" i="89"/>
  <c r="H26" i="89"/>
  <c r="H25" i="89"/>
  <c r="K24" i="89"/>
  <c r="H24" i="89"/>
  <c r="H23" i="89"/>
  <c r="H22" i="89"/>
  <c r="H21" i="89"/>
  <c r="H20" i="89"/>
  <c r="U19" i="89"/>
  <c r="H19" i="89"/>
  <c r="H18" i="89"/>
  <c r="H17" i="89"/>
  <c r="U10" i="89"/>
  <c r="K7" i="89"/>
  <c r="I7" i="89"/>
  <c r="K6" i="89"/>
  <c r="I6" i="89"/>
  <c r="K5" i="89"/>
  <c r="U19" i="86"/>
  <c r="H34" i="86"/>
  <c r="H35" i="86"/>
  <c r="I3" i="88" l="1"/>
  <c r="C31" i="96"/>
  <c r="K3" i="89"/>
  <c r="K3" i="88"/>
  <c r="I3" i="89"/>
  <c r="K3" i="96"/>
  <c r="I3" i="96"/>
  <c r="C31" i="88"/>
  <c r="C31" i="89"/>
  <c r="K24" i="86" l="1"/>
  <c r="U10" i="86"/>
  <c r="L28" i="86"/>
  <c r="K3" i="86" l="1"/>
  <c r="I3" i="86" l="1"/>
  <c r="I7" i="86"/>
  <c r="I6" i="86"/>
  <c r="I5" i="86"/>
  <c r="K7" i="86"/>
  <c r="K4" i="86"/>
  <c r="I4" i="86"/>
  <c r="K6" i="86"/>
  <c r="K5" i="86"/>
  <c r="H32" i="86"/>
  <c r="H33" i="86"/>
  <c r="H31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17" i="86"/>
  <c r="C31" i="86" l="1"/>
  <c r="G5" i="96" l="1"/>
  <c r="L5" i="96" s="1"/>
  <c r="G4" i="96"/>
  <c r="L4" i="96" s="1"/>
  <c r="G7" i="96"/>
  <c r="L7" i="96" s="1"/>
  <c r="G3" i="96"/>
  <c r="L3" i="96" s="1"/>
  <c r="G6" i="96"/>
  <c r="L6" i="96" s="1"/>
  <c r="G6" i="86"/>
  <c r="L6" i="86" s="1"/>
  <c r="G5" i="86"/>
  <c r="L5" i="86" s="1"/>
  <c r="G3" i="86"/>
  <c r="L3" i="86" s="1"/>
  <c r="G4" i="88"/>
  <c r="L4" i="88" s="1"/>
  <c r="G3" i="88"/>
  <c r="L3" i="88" s="1"/>
  <c r="G4" i="89"/>
  <c r="L4" i="89" s="1"/>
  <c r="G7" i="88"/>
  <c r="L7" i="88" s="1"/>
  <c r="G6" i="88"/>
  <c r="L6" i="88" s="1"/>
  <c r="G7" i="86"/>
  <c r="L7" i="86" s="1"/>
  <c r="G7" i="89"/>
  <c r="L7" i="89" s="1"/>
  <c r="G6" i="89"/>
  <c r="L6" i="89" s="1"/>
  <c r="G4" i="86"/>
  <c r="L4" i="86" s="1"/>
  <c r="G3" i="89"/>
  <c r="L3" i="89" s="1"/>
  <c r="G5" i="88"/>
  <c r="L5" i="88" s="1"/>
  <c r="G5" i="89"/>
  <c r="L5" i="89" s="1"/>
  <c r="C30" i="88" l="1"/>
  <c r="C30" i="96"/>
  <c r="C30" i="89"/>
  <c r="C30" i="86"/>
  <c r="L32" i="86" l="1"/>
  <c r="L32" i="89"/>
  <c r="L32" i="96"/>
  <c r="L32" i="88"/>
  <c r="L33" i="88" l="1" a="1"/>
  <c r="L33" i="88" s="1"/>
  <c r="L31" i="88" s="1"/>
  <c r="S10" i="88" s="1"/>
  <c r="L33" i="89" a="1"/>
  <c r="L33" i="89" s="1"/>
  <c r="L31" i="89" s="1"/>
  <c r="L33" i="96" a="1"/>
  <c r="L33" i="96" s="1"/>
  <c r="L31" i="96" s="1"/>
  <c r="L33" i="86" a="1"/>
  <c r="L33" i="86" s="1"/>
  <c r="L31" i="86" s="1"/>
  <c r="L22" i="89" l="1"/>
  <c r="S22" i="89"/>
  <c r="S21" i="89"/>
  <c r="S7" i="89"/>
  <c r="S15" i="89"/>
  <c r="S12" i="89"/>
  <c r="S14" i="89"/>
  <c r="S16" i="89"/>
  <c r="S20" i="89"/>
  <c r="S6" i="89"/>
  <c r="S5" i="89"/>
  <c r="L35" i="89"/>
  <c r="S10" i="89"/>
  <c r="S18" i="89"/>
  <c r="S4" i="89"/>
  <c r="S6" i="96"/>
  <c r="S11" i="96"/>
  <c r="S17" i="96"/>
  <c r="S9" i="96"/>
  <c r="S22" i="96"/>
  <c r="S5" i="96"/>
  <c r="S23" i="96"/>
  <c r="S10" i="96"/>
  <c r="S20" i="96"/>
  <c r="S14" i="96"/>
  <c r="S4" i="96"/>
  <c r="S19" i="96"/>
  <c r="S7" i="96"/>
  <c r="S15" i="96"/>
  <c r="S18" i="96"/>
  <c r="S22" i="86"/>
  <c r="S7" i="86"/>
  <c r="S12" i="86"/>
  <c r="L22" i="86"/>
  <c r="S3" i="86"/>
  <c r="S5" i="86"/>
  <c r="S23" i="86"/>
  <c r="S17" i="86"/>
  <c r="S19" i="86"/>
  <c r="S8" i="86"/>
  <c r="S20" i="86"/>
  <c r="S4" i="86"/>
  <c r="L35" i="86"/>
  <c r="S11" i="86"/>
  <c r="S14" i="86"/>
  <c r="S18" i="86"/>
  <c r="S21" i="86"/>
  <c r="S16" i="86"/>
  <c r="S10" i="86"/>
  <c r="S6" i="86"/>
  <c r="S15" i="86"/>
  <c r="S9" i="86"/>
  <c r="S20" i="88"/>
  <c r="S12" i="88"/>
  <c r="S9" i="88"/>
  <c r="S6" i="88"/>
  <c r="S23" i="89"/>
  <c r="S3" i="89"/>
  <c r="S19" i="89"/>
  <c r="S3" i="96"/>
  <c r="S16" i="96"/>
  <c r="S22" i="88"/>
  <c r="S14" i="88"/>
  <c r="S16" i="88"/>
  <c r="S17" i="88"/>
  <c r="L35" i="88"/>
  <c r="S3" i="88"/>
  <c r="S18" i="88"/>
  <c r="S15" i="88"/>
  <c r="S8" i="89"/>
  <c r="S17" i="89"/>
  <c r="L22" i="96"/>
  <c r="S8" i="96"/>
  <c r="L35" i="96"/>
  <c r="S23" i="88"/>
  <c r="S8" i="88"/>
  <c r="S19" i="88"/>
  <c r="S7" i="88"/>
  <c r="L22" i="88"/>
  <c r="S21" i="88"/>
  <c r="S5" i="88"/>
  <c r="S11" i="89"/>
  <c r="Q11" i="89" s="1"/>
  <c r="S9" i="89"/>
  <c r="S12" i="96"/>
  <c r="S21" i="96"/>
  <c r="S4" i="88"/>
  <c r="S11" i="88"/>
  <c r="Q23" i="89"/>
  <c r="Q20" i="89"/>
  <c r="Q9" i="86" l="1"/>
  <c r="Q18" i="89"/>
  <c r="O18" i="89" s="1"/>
  <c r="Q17" i="89"/>
  <c r="O17" i="89" s="1"/>
  <c r="Q4" i="89"/>
  <c r="Q14" i="89"/>
  <c r="Q5" i="89"/>
  <c r="Q8" i="89"/>
  <c r="O8" i="89" s="1"/>
  <c r="L26" i="89"/>
  <c r="E38" i="94" s="1"/>
  <c r="Q9" i="89"/>
  <c r="O9" i="89" s="1"/>
  <c r="Q7" i="89"/>
  <c r="P7" i="89" s="1"/>
  <c r="Q21" i="89"/>
  <c r="L26" i="86"/>
  <c r="L25" i="86" s="1"/>
  <c r="Q22" i="89"/>
  <c r="Q10" i="86"/>
  <c r="L21" i="86"/>
  <c r="I29" i="94" s="1"/>
  <c r="L21" i="89"/>
  <c r="I30" i="94" s="1"/>
  <c r="Q15" i="89"/>
  <c r="L20" i="86"/>
  <c r="H29" i="94" s="1"/>
  <c r="Q5" i="86"/>
  <c r="O5" i="86" s="1"/>
  <c r="Q18" i="96"/>
  <c r="P18" i="96" s="1"/>
  <c r="Q16" i="86"/>
  <c r="O16" i="86" s="1"/>
  <c r="Q8" i="86"/>
  <c r="Q7" i="86"/>
  <c r="O7" i="86" s="1"/>
  <c r="Q16" i="89"/>
  <c r="O16" i="89" s="1"/>
  <c r="Q12" i="86"/>
  <c r="Q21" i="86"/>
  <c r="P21" i="86" s="1"/>
  <c r="Q22" i="86"/>
  <c r="P22" i="86" s="1"/>
  <c r="Q17" i="86"/>
  <c r="O17" i="86" s="1"/>
  <c r="Q3" i="89"/>
  <c r="O3" i="89" s="1"/>
  <c r="Q12" i="89"/>
  <c r="P12" i="89" s="1"/>
  <c r="Q4" i="86"/>
  <c r="Q14" i="86"/>
  <c r="O14" i="86" s="1"/>
  <c r="Q23" i="86"/>
  <c r="Q19" i="86"/>
  <c r="P19" i="86" s="1"/>
  <c r="Q19" i="89"/>
  <c r="P19" i="89" s="1"/>
  <c r="L20" i="89"/>
  <c r="Q6" i="86"/>
  <c r="Q11" i="86"/>
  <c r="O11" i="86" s="1"/>
  <c r="L26" i="88"/>
  <c r="E39" i="97" s="1"/>
  <c r="Q20" i="86"/>
  <c r="P20" i="86" s="1"/>
  <c r="Q18" i="86"/>
  <c r="O18" i="86" s="1"/>
  <c r="Q6" i="89"/>
  <c r="O6" i="89" s="1"/>
  <c r="Q10" i="89"/>
  <c r="O10" i="89" s="1"/>
  <c r="Q15" i="86"/>
  <c r="O15" i="86" s="1"/>
  <c r="Q3" i="86"/>
  <c r="P3" i="86" s="1"/>
  <c r="Q15" i="96"/>
  <c r="P15" i="96" s="1"/>
  <c r="E39" i="94"/>
  <c r="E32" i="94"/>
  <c r="E32" i="97"/>
  <c r="H30" i="94"/>
  <c r="H30" i="97"/>
  <c r="E37" i="94"/>
  <c r="E29" i="94"/>
  <c r="E29" i="97"/>
  <c r="E31" i="94"/>
  <c r="E31" i="97"/>
  <c r="E30" i="94"/>
  <c r="E30" i="97"/>
  <c r="Q8" i="96"/>
  <c r="P8" i="96" s="1"/>
  <c r="Q14" i="96"/>
  <c r="P14" i="96" s="1"/>
  <c r="Q20" i="96"/>
  <c r="P20" i="96" s="1"/>
  <c r="Q16" i="96"/>
  <c r="O16" i="96" s="1"/>
  <c r="Q19" i="96"/>
  <c r="P19" i="96" s="1"/>
  <c r="Q9" i="96"/>
  <c r="O9" i="96" s="1"/>
  <c r="L21" i="96"/>
  <c r="U5" i="96" s="1"/>
  <c r="BB15" i="95" s="1"/>
  <c r="Q23" i="96"/>
  <c r="O23" i="96" s="1"/>
  <c r="L26" i="96"/>
  <c r="L25" i="96" s="1"/>
  <c r="Q3" i="96"/>
  <c r="O3" i="96" s="1"/>
  <c r="Q6" i="96"/>
  <c r="P6" i="96" s="1"/>
  <c r="Q4" i="96"/>
  <c r="P4" i="96" s="1"/>
  <c r="Q5" i="96"/>
  <c r="O5" i="96" s="1"/>
  <c r="Q7" i="96"/>
  <c r="O7" i="96" s="1"/>
  <c r="Q10" i="96"/>
  <c r="P10" i="96" s="1"/>
  <c r="Q11" i="96"/>
  <c r="P11" i="96" s="1"/>
  <c r="L20" i="96"/>
  <c r="U6" i="96" s="1"/>
  <c r="BB16" i="95" s="1"/>
  <c r="Q21" i="96"/>
  <c r="P21" i="96" s="1"/>
  <c r="Q12" i="96"/>
  <c r="O12" i="96" s="1"/>
  <c r="Q23" i="88"/>
  <c r="P23" i="88" s="1"/>
  <c r="Q11" i="88"/>
  <c r="P11" i="88" s="1"/>
  <c r="Q22" i="96"/>
  <c r="O22" i="96" s="1"/>
  <c r="Q17" i="96"/>
  <c r="P17" i="96" s="1"/>
  <c r="Q18" i="88"/>
  <c r="P18" i="88" s="1"/>
  <c r="Q9" i="88"/>
  <c r="O9" i="88" s="1"/>
  <c r="Q8" i="88"/>
  <c r="P8" i="88" s="1"/>
  <c r="Q7" i="88"/>
  <c r="P7" i="88" s="1"/>
  <c r="Q6" i="88"/>
  <c r="P6" i="88" s="1"/>
  <c r="Q4" i="88"/>
  <c r="P4" i="88" s="1"/>
  <c r="Q21" i="88"/>
  <c r="O21" i="88" s="1"/>
  <c r="L20" i="88"/>
  <c r="Q15" i="88"/>
  <c r="P15" i="88" s="1"/>
  <c r="Q14" i="88"/>
  <c r="P14" i="88" s="1"/>
  <c r="Q3" i="88"/>
  <c r="P3" i="88" s="1"/>
  <c r="Q5" i="88"/>
  <c r="P5" i="88" s="1"/>
  <c r="Q20" i="88"/>
  <c r="P20" i="88" s="1"/>
  <c r="Q16" i="88"/>
  <c r="O16" i="88" s="1"/>
  <c r="Q22" i="88"/>
  <c r="O22" i="88" s="1"/>
  <c r="Q12" i="88"/>
  <c r="P12" i="88" s="1"/>
  <c r="L21" i="88"/>
  <c r="Q10" i="88"/>
  <c r="P10" i="88" s="1"/>
  <c r="Q17" i="88"/>
  <c r="P17" i="88" s="1"/>
  <c r="Q19" i="88"/>
  <c r="O19" i="88" s="1"/>
  <c r="P9" i="89"/>
  <c r="P18" i="86"/>
  <c r="O8" i="86"/>
  <c r="P8" i="86"/>
  <c r="P5" i="89"/>
  <c r="O5" i="89"/>
  <c r="P16" i="89"/>
  <c r="P22" i="89"/>
  <c r="O22" i="89"/>
  <c r="P15" i="86"/>
  <c r="O3" i="86"/>
  <c r="P16" i="86"/>
  <c r="P7" i="86"/>
  <c r="O11" i="89"/>
  <c r="P11" i="89"/>
  <c r="O23" i="86"/>
  <c r="P23" i="86"/>
  <c r="P17" i="89"/>
  <c r="O4" i="89"/>
  <c r="P4" i="89"/>
  <c r="L24" i="86"/>
  <c r="P21" i="88"/>
  <c r="O21" i="89"/>
  <c r="P21" i="89"/>
  <c r="P18" i="89"/>
  <c r="O23" i="89"/>
  <c r="P23" i="89"/>
  <c r="O20" i="86"/>
  <c r="P9" i="86"/>
  <c r="O9" i="86"/>
  <c r="O12" i="89"/>
  <c r="U6" i="89"/>
  <c r="BB10" i="95" s="1"/>
  <c r="O7" i="88"/>
  <c r="O17" i="96"/>
  <c r="O15" i="89"/>
  <c r="P15" i="89"/>
  <c r="O6" i="86"/>
  <c r="P6" i="86"/>
  <c r="O19" i="96"/>
  <c r="O15" i="96"/>
  <c r="O20" i="89"/>
  <c r="P20" i="89"/>
  <c r="P12" i="86"/>
  <c r="O12" i="86"/>
  <c r="P4" i="86"/>
  <c r="O4" i="86"/>
  <c r="O14" i="89"/>
  <c r="P14" i="89"/>
  <c r="P10" i="86"/>
  <c r="O10" i="86"/>
  <c r="P17" i="86"/>
  <c r="L25" i="89" l="1"/>
  <c r="P8" i="89"/>
  <c r="L24" i="89"/>
  <c r="U13" i="89" s="1"/>
  <c r="BB25" i="95" s="1"/>
  <c r="E38" i="97"/>
  <c r="U18" i="89"/>
  <c r="L24" i="88"/>
  <c r="O6" i="88"/>
  <c r="U5" i="89"/>
  <c r="BB9" i="95" s="1"/>
  <c r="L25" i="88"/>
  <c r="P14" i="86"/>
  <c r="O7" i="89"/>
  <c r="E37" i="97"/>
  <c r="O20" i="88"/>
  <c r="I29" i="97"/>
  <c r="O18" i="96"/>
  <c r="U5" i="86"/>
  <c r="BB6" i="95" s="1"/>
  <c r="O23" i="88"/>
  <c r="P16" i="96"/>
  <c r="U18" i="86"/>
  <c r="O19" i="86"/>
  <c r="O4" i="96"/>
  <c r="P3" i="96"/>
  <c r="P5" i="86"/>
  <c r="O19" i="89"/>
  <c r="H29" i="97"/>
  <c r="O22" i="86"/>
  <c r="P5" i="96"/>
  <c r="I30" i="97"/>
  <c r="P10" i="89"/>
  <c r="P22" i="88"/>
  <c r="P3" i="89"/>
  <c r="U6" i="86"/>
  <c r="BB7" i="95" s="1"/>
  <c r="O14" i="96"/>
  <c r="P22" i="96"/>
  <c r="P7" i="96"/>
  <c r="P6" i="89"/>
  <c r="O3" i="88"/>
  <c r="P11" i="86"/>
  <c r="O21" i="86"/>
  <c r="P9" i="96"/>
  <c r="O21" i="96"/>
  <c r="O5" i="88"/>
  <c r="P12" i="96"/>
  <c r="O6" i="96"/>
  <c r="P19" i="88"/>
  <c r="O20" i="96"/>
  <c r="L24" i="96"/>
  <c r="H40" i="94" s="1"/>
  <c r="I40" i="94"/>
  <c r="I40" i="97"/>
  <c r="O10" i="88"/>
  <c r="P9" i="88"/>
  <c r="O8" i="96"/>
  <c r="O14" i="88"/>
  <c r="H37" i="94"/>
  <c r="H37" i="97"/>
  <c r="E40" i="94"/>
  <c r="E40" i="97"/>
  <c r="I39" i="94"/>
  <c r="I39" i="97"/>
  <c r="H31" i="94"/>
  <c r="H31" i="97"/>
  <c r="I32" i="94"/>
  <c r="I32" i="97"/>
  <c r="I38" i="94"/>
  <c r="I38" i="97"/>
  <c r="I37" i="94"/>
  <c r="I37" i="97"/>
  <c r="H32" i="94"/>
  <c r="H32" i="97"/>
  <c r="H39" i="94"/>
  <c r="H39" i="97"/>
  <c r="I31" i="94"/>
  <c r="I31" i="97"/>
  <c r="O15" i="88"/>
  <c r="O10" i="96"/>
  <c r="P23" i="96"/>
  <c r="O11" i="96"/>
  <c r="P16" i="88"/>
  <c r="U5" i="88"/>
  <c r="BB12" i="95" s="1"/>
  <c r="O11" i="88"/>
  <c r="U18" i="88"/>
  <c r="U18" i="96"/>
  <c r="O18" i="88"/>
  <c r="O4" i="88"/>
  <c r="O12" i="88"/>
  <c r="O17" i="88"/>
  <c r="O8" i="88"/>
  <c r="U6" i="88"/>
  <c r="BB13" i="95" s="1"/>
  <c r="U13" i="86"/>
  <c r="BB22" i="95" s="1"/>
  <c r="U12" i="89"/>
  <c r="BB24" i="95" s="1"/>
  <c r="U12" i="86"/>
  <c r="BB21" i="95" s="1"/>
  <c r="U13" i="88"/>
  <c r="BB28" i="95" s="1"/>
  <c r="U12" i="96"/>
  <c r="BB30" i="95" s="1"/>
  <c r="U12" i="88"/>
  <c r="BB27" i="95" s="1"/>
  <c r="U13" i="96"/>
  <c r="BB31" i="95" s="1"/>
  <c r="H38" i="94" l="1"/>
  <c r="H38" i="97"/>
  <c r="H40" i="97"/>
  <c r="C33" i="96"/>
  <c r="C34" i="96" s="1"/>
  <c r="L34" i="96" s="1"/>
  <c r="C33" i="86"/>
  <c r="C34" i="86" s="1"/>
  <c r="L34" i="86" s="1"/>
  <c r="C33" i="89"/>
  <c r="C34" i="89" s="1"/>
  <c r="L34" i="89" s="1"/>
  <c r="C33" i="88"/>
  <c r="C34" i="88" s="1"/>
  <c r="L34" i="8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<sst xmlns="http://schemas.openxmlformats.org/spreadsheetml/2006/main" count="354" uniqueCount="114">
  <si>
    <t>Formato</t>
  </si>
  <si>
    <t>Quantidade</t>
  </si>
  <si>
    <t>Acabamento</t>
  </si>
  <si>
    <t>Papel tipo</t>
  </si>
  <si>
    <t>Chapa</t>
  </si>
  <si>
    <t>Nº</t>
  </si>
  <si>
    <t>Equipamento</t>
  </si>
  <si>
    <t>Milheiro</t>
  </si>
  <si>
    <t>Folha</t>
  </si>
  <si>
    <t>Valor</t>
  </si>
  <si>
    <t>S Papel</t>
  </si>
  <si>
    <t>S Chapa</t>
  </si>
  <si>
    <t>S Milheiro</t>
  </si>
  <si>
    <t>Descrição</t>
  </si>
  <si>
    <t>valor unitário</t>
  </si>
  <si>
    <t>Tiragem</t>
  </si>
  <si>
    <t>2X 50% e 50%</t>
  </si>
  <si>
    <t>Lucro</t>
  </si>
  <si>
    <t>Parcelas</t>
  </si>
  <si>
    <t>Valor Total</t>
  </si>
  <si>
    <t>Valor Unitário</t>
  </si>
  <si>
    <t>Juros</t>
  </si>
  <si>
    <t>Link de Pagamento</t>
  </si>
  <si>
    <t>Maquininha</t>
  </si>
  <si>
    <t>-&gt; Valores com desconto para pagamento via PIX ou Transferência</t>
  </si>
  <si>
    <t>(50% Entrada e 50% Entrega)</t>
  </si>
  <si>
    <t>-&gt; Valores para pagamento via cartão de crédito</t>
  </si>
  <si>
    <t>Extras</t>
  </si>
  <si>
    <t>Soma</t>
  </si>
  <si>
    <t>Soma CTP</t>
  </si>
  <si>
    <t>Soma Extas 2</t>
  </si>
  <si>
    <t>Soma Extas 3</t>
  </si>
  <si>
    <t>Custo Total</t>
  </si>
  <si>
    <t>Percentual de Imposto</t>
  </si>
  <si>
    <t>VL Sem Imposto</t>
  </si>
  <si>
    <t>VL Com Imposto</t>
  </si>
  <si>
    <t>Taxa Cartão</t>
  </si>
  <si>
    <t>Total no Cartão</t>
  </si>
  <si>
    <t>Valor unitário</t>
  </si>
  <si>
    <t>Valor Juros</t>
  </si>
  <si>
    <t>Total a Vista ou 50% e 50%</t>
  </si>
  <si>
    <t>Porcentagem de Lucro</t>
  </si>
  <si>
    <t>Juros Cartão</t>
  </si>
  <si>
    <t>Quantidade de Parcelas</t>
  </si>
  <si>
    <t>Forma de Pagamento:</t>
  </si>
  <si>
    <t>Validade:</t>
  </si>
  <si>
    <t>-&gt; Valores para pagamento via cartão de crédito (Sem Juros)</t>
  </si>
  <si>
    <t>Belo Horizonte,</t>
  </si>
  <si>
    <t>2x</t>
  </si>
  <si>
    <t>Ajuste para Blocos</t>
  </si>
  <si>
    <t>Quant. Folhas</t>
  </si>
  <si>
    <t xml:space="preserve">Observações: </t>
  </si>
  <si>
    <t>Clichê</t>
  </si>
  <si>
    <t>Valor Clichê</t>
  </si>
  <si>
    <t>Valor Final</t>
  </si>
  <si>
    <t>OBS</t>
  </si>
  <si>
    <t>Soma HotStamping</t>
  </si>
  <si>
    <t>Papel</t>
  </si>
  <si>
    <t>Nome do Material</t>
  </si>
  <si>
    <t>Tipos</t>
  </si>
  <si>
    <t>Tipos de Material</t>
  </si>
  <si>
    <t>Sacola</t>
  </si>
  <si>
    <t>Envelope</t>
  </si>
  <si>
    <t>Largura</t>
  </si>
  <si>
    <t>Cores</t>
  </si>
  <si>
    <t>1x0</t>
  </si>
  <si>
    <t>4x0</t>
  </si>
  <si>
    <t>4x1</t>
  </si>
  <si>
    <t>4x4</t>
  </si>
  <si>
    <t>1X0</t>
  </si>
  <si>
    <t>Preto</t>
  </si>
  <si>
    <t>Pantone</t>
  </si>
  <si>
    <t>Cores (colorido)</t>
  </si>
  <si>
    <t>1 Cor (</t>
  </si>
  <si>
    <t>Lados</t>
  </si>
  <si>
    <t>Ambos Lados Iguais</t>
  </si>
  <si>
    <t>Lados Diferentes</t>
  </si>
  <si>
    <t>Bloco</t>
  </si>
  <si>
    <t>Outros Materiais</t>
  </si>
  <si>
    <t>Dados</t>
  </si>
  <si>
    <t>Não se aplica</t>
  </si>
  <si>
    <t>Informações do cliente</t>
  </si>
  <si>
    <t>Número da Proposta</t>
  </si>
  <si>
    <t>Nome do Cliente</t>
  </si>
  <si>
    <t>Empresa</t>
  </si>
  <si>
    <t>Telefone</t>
  </si>
  <si>
    <t>Email</t>
  </si>
  <si>
    <t>7 dias</t>
  </si>
  <si>
    <t>Tamanho</t>
  </si>
  <si>
    <t>Acabamento 1</t>
  </si>
  <si>
    <t>Acabamento / Complemento 1</t>
  </si>
  <si>
    <t>Acabamento 2</t>
  </si>
  <si>
    <t>Acabamento / Complemento 2</t>
  </si>
  <si>
    <t>Acabamento 3</t>
  </si>
  <si>
    <t>Acabamento / Complemento 3</t>
  </si>
  <si>
    <t>Acabamento 4</t>
  </si>
  <si>
    <t>Acabamento / Complemento 4</t>
  </si>
  <si>
    <t>Acabamento 5</t>
  </si>
  <si>
    <t>Acabamento / Complemento 5</t>
  </si>
  <si>
    <t>Acabamento 6</t>
  </si>
  <si>
    <t>Acabamento / Complemento 6</t>
  </si>
  <si>
    <t>Proposta Nº:</t>
  </si>
  <si>
    <t>Cliente:</t>
  </si>
  <si>
    <t>Empresa:</t>
  </si>
  <si>
    <t>Telefone:</t>
  </si>
  <si>
    <t>Email:</t>
  </si>
  <si>
    <t>Selecione</t>
  </si>
  <si>
    <t>Forma de Pagamento</t>
  </si>
  <si>
    <t>Previsão de entrega</t>
  </si>
  <si>
    <t>Validade do Orçamento</t>
  </si>
  <si>
    <t>Backup Valores Descrição - Base</t>
  </si>
  <si>
    <t>Profundidade</t>
  </si>
  <si>
    <t>Altura</t>
  </si>
  <si>
    <t>Alça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</si>
</sst>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0"/>
    <numFmt numFmtId="166" formatCode="_-[$R$-416]\ * #,##0.000_-;\-[$R$-416]\ * #,##0.000_-;_-[$R$-416]\ * &quot;-&quot;??_-;_-@_-"/>
    <numFmt numFmtId="167" formatCode="_-&quot;R$&quot;\ * #,##0.000_-;\-&quot;R$&quot;\ * #,##0.000_-;_-&quot;R$&quot;\ * &quot;-&quot;??_-;_-@_-"/>
    <numFmt numFmtId="168" formatCode="[$-F800]dddd\,\ mmmm\ dd\,\ yyyy"/>
    <numFmt numFmtId="169" formatCode="&quot;R$&quot;\ #,##0.0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 tint="0.2499465926084170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.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8" fillId="7" borderId="0" applyNumberFormat="0" applyBorder="0" applyAlignment="0" applyProtection="0"/>
    <xf numFmtId="0" fontId="2" fillId="8" borderId="0" applyNumberFormat="0" applyBorder="0" applyAlignment="0" applyProtection="0"/>
    <xf numFmtId="0" fontId="9" fillId="9" borderId="0" applyNumberFormat="0" applyBorder="0" applyAlignment="0" applyProtection="0"/>
    <xf numFmtId="0" fontId="13" fillId="0" borderId="0" applyNumberFormat="0" applyFill="0" applyBorder="0" applyAlignment="0" applyProtection="0"/>
    <xf numFmtId="14" fontId="14" fillId="0" borderId="0">
      <alignment horizontal="left" vertical="center"/>
    </xf>
    <xf numFmtId="169" fontId="14" fillId="0" borderId="0">
      <alignment horizontal="left" vertical="center"/>
    </xf>
  </cellStyleXfs>
  <cellXfs count="140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44" fontId="0" fillId="0" borderId="0" xfId="0" applyNumberFormat="1"/>
    <xf numFmtId="0" fontId="0" fillId="0" borderId="6" xfId="0" applyBorder="1" applyAlignment="1">
      <alignment horizont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right"/>
    </xf>
    <xf numFmtId="164" fontId="5" fillId="0" borderId="0" xfId="0" applyNumberFormat="1" applyFont="1"/>
    <xf numFmtId="0" fontId="5" fillId="0" borderId="0" xfId="0" applyFont="1"/>
    <xf numFmtId="165" fontId="5" fillId="0" borderId="0" xfId="0" applyNumberFormat="1" applyFont="1"/>
    <xf numFmtId="166" fontId="0" fillId="0" borderId="0" xfId="0" applyNumberFormat="1"/>
    <xf numFmtId="10" fontId="0" fillId="0" borderId="0" xfId="1" applyNumberFormat="1" applyFont="1"/>
    <xf numFmtId="0" fontId="0" fillId="6" borderId="0" xfId="0" applyFill="1" applyAlignment="1">
      <alignment horizontal="center"/>
    </xf>
    <xf numFmtId="164" fontId="0" fillId="6" borderId="0" xfId="0" applyNumberFormat="1" applyFill="1"/>
    <xf numFmtId="164" fontId="0" fillId="6" borderId="0" xfId="0" applyNumberFormat="1" applyFill="1" applyAlignment="1">
      <alignment horizontal="center"/>
    </xf>
    <xf numFmtId="9" fontId="0" fillId="6" borderId="0" xfId="1" applyFont="1" applyFill="1" applyAlignment="1">
      <alignment horizontal="center"/>
    </xf>
    <xf numFmtId="44" fontId="0" fillId="0" borderId="0" xfId="2" applyFont="1"/>
    <xf numFmtId="44" fontId="0" fillId="0" borderId="1" xfId="2" applyFont="1" applyBorder="1"/>
    <xf numFmtId="0" fontId="0" fillId="0" borderId="9" xfId="0" applyBorder="1"/>
    <xf numFmtId="44" fontId="0" fillId="0" borderId="9" xfId="0" applyNumberFormat="1" applyBorder="1"/>
    <xf numFmtId="0" fontId="8" fillId="7" borderId="9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44" fontId="0" fillId="0" borderId="2" xfId="2" applyFont="1" applyBorder="1" applyAlignment="1">
      <alignment horizontal="center" vertical="center"/>
    </xf>
    <xf numFmtId="44" fontId="0" fillId="0" borderId="1" xfId="0" applyNumberFormat="1" applyBorder="1"/>
    <xf numFmtId="0" fontId="0" fillId="0" borderId="10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/>
    </xf>
    <xf numFmtId="9" fontId="0" fillId="0" borderId="1" xfId="1" applyFont="1" applyBorder="1"/>
    <xf numFmtId="44" fontId="2" fillId="8" borderId="12" xfId="4" applyNumberFormat="1" applyBorder="1"/>
    <xf numFmtId="0" fontId="0" fillId="0" borderId="11" xfId="0" applyBorder="1"/>
    <xf numFmtId="44" fontId="0" fillId="0" borderId="12" xfId="2" applyFont="1" applyBorder="1" applyAlignment="1">
      <alignment horizontal="left" vertical="center"/>
    </xf>
    <xf numFmtId="167" fontId="0" fillId="0" borderId="12" xfId="2" applyNumberFormat="1" applyFont="1" applyBorder="1" applyAlignment="1">
      <alignment horizontal="left" vertical="center"/>
    </xf>
    <xf numFmtId="44" fontId="0" fillId="0" borderId="12" xfId="2" applyFont="1" applyBorder="1"/>
    <xf numFmtId="44" fontId="0" fillId="0" borderId="12" xfId="0" applyNumberFormat="1" applyBorder="1"/>
    <xf numFmtId="10" fontId="0" fillId="0" borderId="12" xfId="1" applyNumberFormat="1" applyFont="1" applyBorder="1"/>
    <xf numFmtId="0" fontId="0" fillId="0" borderId="12" xfId="0" applyBorder="1" applyAlignment="1">
      <alignment horizontal="center" vertical="center"/>
    </xf>
    <xf numFmtId="44" fontId="0" fillId="0" borderId="12" xfId="2" applyFont="1" applyBorder="1" applyAlignment="1">
      <alignment horizontal="center"/>
    </xf>
    <xf numFmtId="44" fontId="0" fillId="0" borderId="12" xfId="2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9" fontId="0" fillId="0" borderId="12" xfId="0" applyNumberForma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5" borderId="11" xfId="0" applyFill="1" applyBorder="1"/>
    <xf numFmtId="0" fontId="2" fillId="5" borderId="12" xfId="4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14" fillId="0" borderId="0" xfId="7">
      <alignment horizontal="left" vertical="center"/>
    </xf>
    <xf numFmtId="169" fontId="14" fillId="0" borderId="0" xfId="8">
      <alignment horizontal="left" vertical="center"/>
    </xf>
    <xf numFmtId="0" fontId="13" fillId="0" borderId="0" xfId="6" applyFill="1" applyAlignment="1">
      <alignment horizontal="left" vertical="center"/>
    </xf>
    <xf numFmtId="0" fontId="0" fillId="10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4" fontId="3" fillId="0" borderId="2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4" fontId="0" fillId="0" borderId="0" xfId="2" applyFont="1" applyAlignment="1">
      <alignment horizontal="right" vertical="center"/>
    </xf>
    <xf numFmtId="44" fontId="0" fillId="0" borderId="1" xfId="2" applyFont="1" applyBorder="1" applyAlignment="1">
      <alignment vertical="center"/>
    </xf>
    <xf numFmtId="44" fontId="0" fillId="0" borderId="1" xfId="2" applyFont="1" applyBorder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5" fillId="0" borderId="0" xfId="6" applyFont="1" applyFill="1" applyAlignment="1">
      <alignment horizontal="left"/>
    </xf>
    <xf numFmtId="0" fontId="10" fillId="0" borderId="0" xfId="0" applyFont="1" applyAlignment="1">
      <alignment horizontal="right"/>
    </xf>
    <xf numFmtId="0" fontId="14" fillId="0" borderId="0" xfId="8" applyNumberFormat="1">
      <alignment horizontal="left" vertical="center"/>
    </xf>
    <xf numFmtId="14" fontId="0" fillId="0" borderId="0" xfId="0" applyNumberFormat="1" applyAlignment="1">
      <alignment horizontal="center"/>
    </xf>
    <xf numFmtId="0" fontId="10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0" fillId="0" borderId="19" xfId="0" applyBorder="1"/>
    <xf numFmtId="0" fontId="0" fillId="0" borderId="16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0" fontId="0" fillId="0" borderId="17" xfId="0" applyBorder="1"/>
    <xf numFmtId="0" fontId="0" fillId="0" borderId="20" xfId="0" applyBorder="1"/>
    <xf numFmtId="0" fontId="0" fillId="0" borderId="0" xfId="0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0" fillId="0" borderId="35" xfId="0" applyBorder="1" applyAlignment="1">
      <alignment horizontal="center" vertical="center"/>
    </xf>
    <xf numFmtId="0" fontId="10" fillId="11" borderId="34" xfId="0" applyFont="1" applyFill="1" applyBorder="1" applyAlignment="1">
      <alignment horizontal="centerContinuous" vertical="center"/>
    </xf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10" fillId="11" borderId="34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11" fillId="0" borderId="1" xfId="0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5" borderId="15" xfId="0" applyFont="1" applyFill="1" applyBorder="1" applyAlignment="1">
      <alignment horizontal="center"/>
    </xf>
    <xf numFmtId="0" fontId="10" fillId="11" borderId="34" xfId="0" applyFont="1" applyFill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8" fontId="15" fillId="0" borderId="0" xfId="8" applyNumberFormat="1" applyFo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4" fontId="0" fillId="0" borderId="11" xfId="2" applyFont="1" applyBorder="1" applyAlignment="1">
      <alignment horizontal="center" vertical="center"/>
    </xf>
    <xf numFmtId="44" fontId="0" fillId="0" borderId="12" xfId="2" applyFont="1" applyBorder="1" applyAlignment="1">
      <alignment horizontal="center" vertical="center"/>
    </xf>
    <xf numFmtId="0" fontId="8" fillId="7" borderId="0" xfId="3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9" fillId="9" borderId="0" xfId="5" applyAlignment="1">
      <alignment horizontal="center"/>
    </xf>
    <xf numFmtId="0" fontId="10" fillId="0" borderId="0" xfId="0" applyFont="1" applyAlignment="1">
      <alignment horizontal="right" vertical="center"/>
    </xf>
    <xf numFmtId="0" fontId="15" fillId="0" borderId="0" xfId="6" applyFont="1" applyFill="1" applyAlignment="1">
      <alignment horizontal="left"/>
    </xf>
    <xf numFmtId="0" fontId="0" fillId="0" borderId="0" xfId="0" applyAlignment="1">
      <alignment horizontal="right"/>
    </xf>
    <xf numFmtId="0" fontId="16" fillId="0" borderId="0" xfId="0" applyFont="1" applyAlignment="1">
      <alignment horizontal="center" vertical="center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0" fontId="0" fillId="0" borderId="0" xfId="0" applyBorder="1"/>
  </cellXfs>
  <cellStyles count="9">
    <cellStyle name="Bom" xfId="5" builtinId="26"/>
    <cellStyle name="Data" xfId="7" xr:uid="{37C85565-9736-46E8-A42A-2281D71C15C6}"/>
    <cellStyle name="Ênfase6" xfId="4" builtinId="49"/>
    <cellStyle name="Moeda" xfId="2" builtinId="4"/>
    <cellStyle name="Neutro" xfId="3" builtinId="28"/>
    <cellStyle name="Normal" xfId="0" builtinId="0"/>
    <cellStyle name="Porcentagem" xfId="1" builtinId="5"/>
    <cellStyle name="Título" xfId="6" builtinId="15"/>
    <cellStyle name="Valor" xfId="8" xr:uid="{15A4F5B2-3519-4FF9-B8D1-D1756D17B730}"/>
  </cellStyles>
  <dxfs count="87"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>
        <top style="double">
          <color theme="3" tint="9.9948118533890809E-2"/>
        </top>
      </border>
    </dxf>
    <dxf>
      <font>
        <b val="0"/>
        <i val="0"/>
        <color theme="4" tint="-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Tabela de orçamento pessoal" pivot="0" count="3" xr9:uid="{36E83A1F-94C9-45E0-99A8-A1C01AB3B98E}">
      <tableStyleElement type="wholeTable" dxfId="86"/>
      <tableStyleElement type="headerRow" dxfId="85"/>
      <tableStyleElement type="totalRow" dxfId="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190498</xdr:colOff>
      <xdr:row>21</xdr:row>
      <xdr:rowOff>114299</xdr:rowOff>
    </xdr:from>
    <xdr:to>
      <xdr:col>7</xdr:col>
      <xdr:colOff>609599</xdr:colOff>
      <xdr:row>23</xdr:row>
      <xdr:rowOff>93299</xdr:rowOff>
    </xdr:to>
    <xdr:sp macro="[0]!montaInformacoesDo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C98D7B-5C21-CD21-6F2C-5FA5DE5EBADD}"/>
            </a:ext>
          </a:extLst>
        </xdr:cNvPr>
        <xdr:cNvSpPr/>
      </xdr:nvSpPr>
      <xdr:spPr>
        <a:xfrm>
          <a:off x="380998" y="4248149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Restaura</a:t>
          </a:r>
          <a:r>
            <a:rPr lang="pt-BR" sz="1600" b="1" baseline="0">
              <a:solidFill>
                <a:schemeClr val="bg1"/>
              </a:solidFill>
            </a:rPr>
            <a:t> Informações do Cliente</a:t>
          </a:r>
        </a:p>
      </xdr:txBody>
    </xdr:sp>
    <xdr:clientData/>
  </xdr:twoCellAnchor>
  <xdr:twoCellAnchor editAs="absolute">
    <xdr:from>
      <xdr:col>1</xdr:col>
      <xdr:colOff>190498</xdr:colOff>
      <xdr:row>24</xdr:row>
      <xdr:rowOff>11111</xdr:rowOff>
    </xdr:from>
    <xdr:to>
      <xdr:col>7</xdr:col>
      <xdr:colOff>609599</xdr:colOff>
      <xdr:row>25</xdr:row>
      <xdr:rowOff>180611</xdr:rowOff>
    </xdr:to>
    <xdr:sp macro="[0]!montaDescr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BEF0C09-8510-265F-A6B8-FB2FCEF70B57}"/>
            </a:ext>
          </a:extLst>
        </xdr:cNvPr>
        <xdr:cNvSpPr/>
      </xdr:nvSpPr>
      <xdr:spPr>
        <a:xfrm>
          <a:off x="380998" y="4716461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</a:t>
          </a:r>
          <a:r>
            <a:rPr lang="pt-BR" sz="1600" b="1" baseline="0">
              <a:solidFill>
                <a:schemeClr val="bg1"/>
              </a:solidFill>
            </a:rPr>
            <a:t> Descrição</a:t>
          </a:r>
        </a:p>
      </xdr:txBody>
    </xdr:sp>
    <xdr:clientData/>
  </xdr:twoCellAnchor>
  <xdr:twoCellAnchor editAs="absolute">
    <xdr:from>
      <xdr:col>1</xdr:col>
      <xdr:colOff>190498</xdr:colOff>
      <xdr:row>26</xdr:row>
      <xdr:rowOff>98423</xdr:rowOff>
    </xdr:from>
    <xdr:to>
      <xdr:col>7</xdr:col>
      <xdr:colOff>609599</xdr:colOff>
      <xdr:row>28</xdr:row>
      <xdr:rowOff>77423</xdr:rowOff>
    </xdr:to>
    <xdr:sp macro="[0]!montaSacol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D854F9DD-E85F-4EC4-ABD7-F48ED068858B}"/>
            </a:ext>
          </a:extLst>
        </xdr:cNvPr>
        <xdr:cNvSpPr/>
      </xdr:nvSpPr>
      <xdr:spPr>
        <a:xfrm>
          <a:off x="380998" y="5184773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chemeClr val="bg1"/>
              </a:solidFill>
            </a:rPr>
            <a:t>Produto - Sacola</a:t>
          </a:r>
        </a:p>
      </xdr:txBody>
    </xdr:sp>
    <xdr:clientData/>
  </xdr:twoCellAnchor>
  <xdr:twoCellAnchor editAs="absolute">
    <xdr:from>
      <xdr:col>1</xdr:col>
      <xdr:colOff>190498</xdr:colOff>
      <xdr:row>28</xdr:row>
      <xdr:rowOff>185735</xdr:rowOff>
    </xdr:from>
    <xdr:to>
      <xdr:col>7</xdr:col>
      <xdr:colOff>609599</xdr:colOff>
      <xdr:row>30</xdr:row>
      <xdr:rowOff>164735</xdr:rowOff>
    </xdr:to>
    <xdr:sp macro="[0]!montaManual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B97449F-F17A-797A-2D29-AAA159DF6803}"/>
            </a:ext>
          </a:extLst>
        </xdr:cNvPr>
        <xdr:cNvSpPr/>
      </xdr:nvSpPr>
      <xdr:spPr>
        <a:xfrm>
          <a:off x="380998" y="5653085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Produto - Manual</a:t>
          </a:r>
          <a:endParaRPr lang="pt-BR" sz="16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23</xdr:col>
      <xdr:colOff>609599</xdr:colOff>
      <xdr:row>0</xdr:row>
      <xdr:rowOff>190499</xdr:rowOff>
    </xdr:from>
    <xdr:to>
      <xdr:col>28</xdr:col>
      <xdr:colOff>592048</xdr:colOff>
      <xdr:row>2</xdr:row>
      <xdr:rowOff>1619</xdr:rowOff>
    </xdr:to>
    <xdr:sp macro="[0]!restauraPlanilh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D8BF927-EF36-B1BE-4108-35746D5BFA54}"/>
            </a:ext>
          </a:extLst>
        </xdr:cNvPr>
        <xdr:cNvSpPr/>
      </xdr:nvSpPr>
      <xdr:spPr>
        <a:xfrm>
          <a:off x="14563724" y="190499"/>
          <a:ext cx="3030449" cy="334995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 a Planilha</a:t>
          </a:r>
        </a:p>
      </xdr:txBody>
    </xdr:sp>
    <xdr:clientData/>
  </xdr:twoCellAnchor>
  <xdr:twoCellAnchor editAs="absolute">
    <xdr:from>
      <xdr:col>11</xdr:col>
      <xdr:colOff>252412</xdr:colOff>
      <xdr:row>29</xdr:row>
      <xdr:rowOff>104775</xdr:rowOff>
    </xdr:from>
    <xdr:to>
      <xdr:col>14</xdr:col>
      <xdr:colOff>634912</xdr:colOff>
      <xdr:row>31</xdr:row>
      <xdr:rowOff>83775</xdr:rowOff>
    </xdr:to>
    <xdr:sp macro="[0]!larguraXaltu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17429AC-80DC-4A7C-AB4E-9B755B687D73}"/>
            </a:ext>
          </a:extLst>
        </xdr:cNvPr>
        <xdr:cNvSpPr/>
      </xdr:nvSpPr>
      <xdr:spPr>
        <a:xfrm>
          <a:off x="4500562" y="5762625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252412</xdr:colOff>
      <xdr:row>32</xdr:row>
      <xdr:rowOff>0</xdr:rowOff>
    </xdr:from>
    <xdr:to>
      <xdr:col>14</xdr:col>
      <xdr:colOff>634912</xdr:colOff>
      <xdr:row>33</xdr:row>
      <xdr:rowOff>169500</xdr:rowOff>
    </xdr:to>
    <xdr:sp macro="[0]!larguraXprofundidadeXaltu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BF145C7-5D5E-483D-A846-F8F28171A4BB}"/>
            </a:ext>
          </a:extLst>
        </xdr:cNvPr>
        <xdr:cNvSpPr/>
      </xdr:nvSpPr>
      <xdr:spPr>
        <a:xfrm>
          <a:off x="4500562" y="6229350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PROFUNDIDADE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C3950C2-9957-4AB6-8D37-740862DCB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344" y="0"/>
          <a:ext cx="965597" cy="827484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DC89CA5-F16A-4153-A1A1-7DD9E56DC353}"/>
            </a:ext>
          </a:extLst>
        </xdr:cNvPr>
        <xdr:cNvSpPr txBox="1"/>
      </xdr:nvSpPr>
      <xdr:spPr>
        <a:xfrm>
          <a:off x="3649263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7BF6E8BF-1F7C-454E-B6B2-D3A1E6B853FF}"/>
            </a:ext>
          </a:extLst>
        </xdr:cNvPr>
        <xdr:cNvSpPr txBox="1"/>
      </xdr:nvSpPr>
      <xdr:spPr>
        <a:xfrm>
          <a:off x="4474689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80FCE05-472A-419D-AFDB-1165F8F42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0"/>
          <a:ext cx="967978" cy="826293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674DD9DC-01DB-4560-95A1-4AAD0EF212A2}"/>
            </a:ext>
          </a:extLst>
        </xdr:cNvPr>
        <xdr:cNvSpPr txBox="1"/>
      </xdr:nvSpPr>
      <xdr:spPr>
        <a:xfrm>
          <a:off x="3661169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315993F-CFA6-46AA-BF4D-8ED95C697298}"/>
            </a:ext>
          </a:extLst>
        </xdr:cNvPr>
        <xdr:cNvSpPr txBox="1"/>
      </xdr:nvSpPr>
      <xdr:spPr>
        <a:xfrm>
          <a:off x="4486595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file:///G:\Drives%20compartilhados\Produtos\Or&#231;amento\Tabela%20Or&#231;amento\CadastroPapel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CadastroPap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</sheetNames>
    <definedNames>
      <definedName name="SelecionaCliche" refersTo="#REF!"/>
      <definedName name="SelecionarAcabamento" refersTo="#REF!"/>
      <definedName name="SelecionarEquipamento1" refersTo="#REF!"/>
      <definedName name="SelecionarEquipamento2" refersTo="#REF!"/>
      <definedName name="SelecionarExtra" refersTo="#REF!"/>
      <definedName name="SelecionarFormato" refersTo="#REF!"/>
      <definedName name="SelecionarMilheiro" refersTo="#REF!"/>
      <definedName name="SelecionarPapel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  <sheetName val="CadastroPapel"/>
    </sheetNames>
    <sheetDataSet>
      <sheetData sheetId="0">
        <row r="4">
          <cell r="B4" t="str">
            <v>Alto Copiativo 1 cb - 66 x 96 c/ 250fls</v>
          </cell>
          <cell r="C4" t="str">
            <v>Alto Copiativo 1 cb</v>
          </cell>
        </row>
        <row r="5">
          <cell r="B5" t="str">
            <v>Alto Copiativo 2 cfb - 66 x 96 c/ 250fls</v>
          </cell>
          <cell r="C5" t="str">
            <v>Alto Copiativo 2 cfb</v>
          </cell>
        </row>
        <row r="6">
          <cell r="B6" t="str">
            <v>Alto Copiativo 3 CF - 66 x 96 c/ 250fls</v>
          </cell>
          <cell r="C6" t="str">
            <v>Alto Copiativo 3 CF</v>
          </cell>
        </row>
        <row r="7">
          <cell r="B7" t="str">
            <v>AP 120g - 66 x 96 c/ 250fls</v>
          </cell>
          <cell r="C7" t="str">
            <v>AP 120g</v>
          </cell>
        </row>
        <row r="8">
          <cell r="B8" t="str">
            <v>AP 150g - 64 x 88 c/ 250fls</v>
          </cell>
          <cell r="C8" t="str">
            <v>AP 150g</v>
          </cell>
        </row>
        <row r="9">
          <cell r="B9" t="str">
            <v>AP 150g - 66 x 96 c/ 250fls</v>
          </cell>
          <cell r="C9" t="str">
            <v>AP 150g</v>
          </cell>
        </row>
        <row r="10">
          <cell r="B10" t="str">
            <v>AP 150g - 76 x 112 c/ 150fls</v>
          </cell>
          <cell r="C10" t="str">
            <v>AP 150g</v>
          </cell>
        </row>
        <row r="11">
          <cell r="B11" t="str">
            <v>AP 180g - 64 x 88 c/ 125fls</v>
          </cell>
          <cell r="C11" t="str">
            <v>AP 180g</v>
          </cell>
        </row>
        <row r="12">
          <cell r="B12" t="str">
            <v>AP 180g - 66 x 96 c/ 250fls</v>
          </cell>
          <cell r="C12" t="str">
            <v>AP 180g</v>
          </cell>
        </row>
        <row r="13">
          <cell r="B13" t="str">
            <v>AP 180g - 76 x 112 c/ 150fls</v>
          </cell>
          <cell r="C13" t="str">
            <v>AP 180g</v>
          </cell>
        </row>
        <row r="14">
          <cell r="B14" t="str">
            <v>AP 240g - 64 x 88 c/ 150fls</v>
          </cell>
          <cell r="C14" t="str">
            <v>AP 240g</v>
          </cell>
        </row>
        <row r="15">
          <cell r="B15" t="str">
            <v>AP 240g - 64 x 88 c/ 125fls</v>
          </cell>
          <cell r="C15" t="str">
            <v>AP 240g</v>
          </cell>
        </row>
        <row r="16">
          <cell r="B16" t="str">
            <v>AP 240g - 66 x 96 c/ 150fls</v>
          </cell>
          <cell r="C16" t="str">
            <v>AP 240g</v>
          </cell>
        </row>
        <row r="17">
          <cell r="B17" t="str">
            <v>AP 240g - 76 x 112 c/ 125fls</v>
          </cell>
          <cell r="C17" t="str">
            <v>AP 240g</v>
          </cell>
        </row>
        <row r="18">
          <cell r="B18" t="str">
            <v>AP 70g - 64 x 88 c/ 500fls</v>
          </cell>
          <cell r="C18" t="str">
            <v>AP 70g</v>
          </cell>
        </row>
        <row r="19">
          <cell r="B19" t="str">
            <v>AP 70g - 66 x 96 c/ 500fls</v>
          </cell>
          <cell r="C19" t="str">
            <v>AP 70g</v>
          </cell>
        </row>
        <row r="20">
          <cell r="B20" t="str">
            <v>AP 90g - 64 x 88 c/ 250fls</v>
          </cell>
          <cell r="C20" t="str">
            <v>AP 90g</v>
          </cell>
        </row>
        <row r="21">
          <cell r="B21" t="str">
            <v>AP 90g - 66 x 96 c/ 500fls</v>
          </cell>
          <cell r="C21" t="str">
            <v>AP 90g</v>
          </cell>
        </row>
        <row r="22">
          <cell r="B22" t="str">
            <v>AP 90g - 76 x 112 c/ 250fls</v>
          </cell>
          <cell r="C22" t="str">
            <v>AP 90g</v>
          </cell>
        </row>
        <row r="23">
          <cell r="B23" t="str">
            <v>Couche 150g - Fosco/Brilho - 66 x 96 c/ 250fls</v>
          </cell>
          <cell r="C23" t="str">
            <v>Couche 150g - Fosco/Brilho</v>
          </cell>
        </row>
        <row r="24">
          <cell r="B24" t="str">
            <v>Couche Brilho 115g - 64 x 88 c/ 250fls</v>
          </cell>
          <cell r="C24" t="str">
            <v>Couche Brilho 115g</v>
          </cell>
        </row>
        <row r="25">
          <cell r="B25" t="str">
            <v>Couche Brilho 115g - 66 x 96 c/ 250fls</v>
          </cell>
          <cell r="C25" t="str">
            <v>Couche Brilho 115g</v>
          </cell>
        </row>
        <row r="26">
          <cell r="B26" t="str">
            <v>Couche Brilho 90g - 66 x 96 c/ 250fls</v>
          </cell>
          <cell r="C26" t="str">
            <v>Couche Brilho 90g</v>
          </cell>
        </row>
        <row r="27">
          <cell r="B27" t="str">
            <v>Couche Magno Fosco 300g - 76 x 112 c/ 100fls</v>
          </cell>
          <cell r="C27" t="str">
            <v>Couche Magno Fosco 300g</v>
          </cell>
        </row>
        <row r="28">
          <cell r="B28" t="str">
            <v>Couche Nevia Fosco 300g - 66 x 96 c/ 100fls</v>
          </cell>
          <cell r="C28" t="str">
            <v>Couche Nevia Fosco 300g</v>
          </cell>
        </row>
        <row r="29">
          <cell r="B29" t="str">
            <v>Couche Nevia Fosco 300g - 66 x 96 c/ 125fls</v>
          </cell>
          <cell r="C29" t="str">
            <v>Couche Nevia Fosco 300g</v>
          </cell>
        </row>
        <row r="30">
          <cell r="B30" t="str">
            <v>Duplex Ecopack MD 210g - 77 x 113 c/ 525fls</v>
          </cell>
          <cell r="C30" t="str">
            <v>Duplex Ecopack MD 210g</v>
          </cell>
        </row>
        <row r="31">
          <cell r="B31" t="str">
            <v>Duplex Ecopack MD 210g - 96 x 113 c/ 1050fls</v>
          </cell>
          <cell r="C31" t="str">
            <v>Duplex Ecopack MD 210g</v>
          </cell>
        </row>
        <row r="32">
          <cell r="B32" t="str">
            <v>Duplex Klabin 205g - 77 x 113 c/ 283fls</v>
          </cell>
          <cell r="C32" t="str">
            <v>Duplex Klabin 205g</v>
          </cell>
        </row>
        <row r="33">
          <cell r="B33" t="str">
            <v>Duplex Klabin 205g - 77 x 113 c/ 525fls</v>
          </cell>
          <cell r="C33" t="str">
            <v>Duplex Klabin 205g</v>
          </cell>
        </row>
        <row r="34">
          <cell r="B34" t="str">
            <v>Duplex Printkot MD 230g - 77 x 113 c/ 275fls</v>
          </cell>
          <cell r="C34" t="str">
            <v>Duplex Printkot MD 230g</v>
          </cell>
        </row>
        <row r="35">
          <cell r="B35" t="str">
            <v>Duplex Printkot MD 230g - 77 x 113 c/ 525fls</v>
          </cell>
          <cell r="C35" t="str">
            <v>Duplex Printkot MD 230g</v>
          </cell>
        </row>
        <row r="36">
          <cell r="B36" t="str">
            <v>Floport 35gr - Papel de Seda -  c/ 500fls</v>
          </cell>
          <cell r="C36" t="str">
            <v>Floport 35gr - Papel de Seda</v>
          </cell>
        </row>
        <row r="37">
          <cell r="B37" t="str">
            <v>Kraft 135g - 63 x 113 c/ 1050fls</v>
          </cell>
          <cell r="C37" t="str">
            <v>Kraft 135g</v>
          </cell>
        </row>
        <row r="38">
          <cell r="B38" t="str">
            <v>Kraft 135g - 66 x 96 c/ 250fls</v>
          </cell>
          <cell r="C38" t="str">
            <v>Kraft 135g</v>
          </cell>
        </row>
        <row r="39">
          <cell r="B39" t="str">
            <v>Kraft 135g - 96 x 53 c/ 1050fls</v>
          </cell>
          <cell r="C39" t="str">
            <v>Kraft 135g</v>
          </cell>
        </row>
        <row r="40">
          <cell r="B40" t="str">
            <v>Kraft 135g - 96 x 76 c/ 525fls</v>
          </cell>
          <cell r="C40" t="str">
            <v>Kraft 135g</v>
          </cell>
        </row>
        <row r="41">
          <cell r="B41" t="str">
            <v>Kraft 135g - 77 x 113 c/ 250fls</v>
          </cell>
          <cell r="C41" t="str">
            <v>Kraft 135g</v>
          </cell>
        </row>
        <row r="42">
          <cell r="B42" t="str">
            <v>Kraft 170g - 113 x 63 c/ 1050fls</v>
          </cell>
          <cell r="C42" t="str">
            <v>Kraft 170g</v>
          </cell>
        </row>
        <row r="43">
          <cell r="B43" t="str">
            <v>Kraft 170g - 66 x 96 c/ 1050fls</v>
          </cell>
          <cell r="C43" t="str">
            <v>Kraft 170g</v>
          </cell>
        </row>
        <row r="44">
          <cell r="B44" t="str">
            <v>Kraft 90g - 66 x 96 c/ 250fls</v>
          </cell>
          <cell r="C44" t="str">
            <v>Kraft 90g</v>
          </cell>
        </row>
        <row r="45">
          <cell r="B45" t="str">
            <v>Kraft 90g - 77 x 113 c/ 250fls</v>
          </cell>
          <cell r="C45" t="str">
            <v>Kraft 90g</v>
          </cell>
        </row>
        <row r="46">
          <cell r="B46" t="str">
            <v>Kraft Klaliner Klabin 135g - 96 x 57 c/ 1050fls</v>
          </cell>
          <cell r="C46" t="str">
            <v>Kraft Klaliner Klabin 135g</v>
          </cell>
        </row>
        <row r="47">
          <cell r="B47" t="str">
            <v>Papel Reciclato 90g - 66 x 96 c/ 250fls</v>
          </cell>
          <cell r="C47" t="str">
            <v>Papel Reciclato 90g</v>
          </cell>
        </row>
        <row r="48">
          <cell r="B48" t="str">
            <v>Triplex Graphics 290g - 66 x 96 c/ 100fls</v>
          </cell>
          <cell r="C48" t="str">
            <v>Triplex Graphics 290g</v>
          </cell>
        </row>
        <row r="49">
          <cell r="B49" t="str">
            <v>Triplex Supera White 240g - 66 x 96 c/ 100fls</v>
          </cell>
          <cell r="C49" t="str">
            <v>Triplex Supera White 240g</v>
          </cell>
        </row>
        <row r="50">
          <cell r="B50" t="str">
            <v>Triplex Supera White 240g - 77 x 113 c/ 100fls</v>
          </cell>
          <cell r="C50" t="str">
            <v>Triplex Supera White 240g</v>
          </cell>
        </row>
        <row r="51">
          <cell r="B51" t="str">
            <v>Triplex Zenith 295g - 77 x 113 c/ 100fls</v>
          </cell>
          <cell r="C51" t="str">
            <v>Triplex Zenith 295g</v>
          </cell>
        </row>
        <row r="52">
          <cell r="B52" t="str">
            <v>Triplex Zian Solid 250g - 48 x 54 c/ 4200fls</v>
          </cell>
          <cell r="C52" t="str">
            <v>Triplex Zian Solid 250g</v>
          </cell>
        </row>
        <row r="53">
          <cell r="B53" t="str">
            <v>Zian Pack 130g - 66 x 96 c/ 150fls</v>
          </cell>
          <cell r="C53" t="str">
            <v>Zian Pack 130g</v>
          </cell>
        </row>
        <row r="54">
          <cell r="B54" t="str">
            <v>Zian Pack 130g - 77 x 113 c/ 150fls</v>
          </cell>
          <cell r="C54" t="str">
            <v>Zian Pack 130g</v>
          </cell>
        </row>
        <row r="55">
          <cell r="B55" t="str">
            <v>Zian Pack 150g - 66 x 96 c/ 150fls</v>
          </cell>
          <cell r="C55" t="str">
            <v>Zian Pack 150g</v>
          </cell>
        </row>
        <row r="56">
          <cell r="B56" t="str">
            <v>Zian Pack 150g - 77 x 113 c/ 150fls</v>
          </cell>
          <cell r="C56" t="str">
            <v>Zian Pack 150g</v>
          </cell>
        </row>
        <row r="57">
          <cell r="B57" t="str">
            <v>Zian Pack 150g - 96 x 53 c/ 1050fls</v>
          </cell>
          <cell r="C57" t="str">
            <v>Zian Pack 150g</v>
          </cell>
        </row>
        <row r="58">
          <cell r="B58" t="str">
            <v>Zian Pack 150g - 96 x 76 c/ 525fls</v>
          </cell>
          <cell r="C58" t="str">
            <v>Zian Pack 150g</v>
          </cell>
        </row>
        <row r="59">
          <cell r="B59" t="str">
            <v>Envelope Pronto - 11,4x16,2 c/ 1000fls</v>
          </cell>
          <cell r="C59" t="str">
            <v>Envelope Pronto</v>
          </cell>
        </row>
        <row r="60">
          <cell r="B60" t="str">
            <v>Duplex Ecopack MD 210g - 66 x 44 c/ 1100fls</v>
          </cell>
          <cell r="C60" t="str">
            <v>Duplex Ecopack MD 210g</v>
          </cell>
        </row>
        <row r="61">
          <cell r="B61" t="str">
            <v>Duplex Ecopack MD 210g - 66 x 44 c/ 2100fls</v>
          </cell>
          <cell r="C61" t="str">
            <v>Duplex Ecopack MD 210g</v>
          </cell>
        </row>
        <row r="62">
          <cell r="B62" t="str">
            <v>Cartolina 180g - Amarela, Azul, Verde - 55 x 73 c/ 100fls</v>
          </cell>
          <cell r="C62" t="str">
            <v>Cartolina 180g - Amarela, Azul, Verde</v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  <row r="196">
          <cell r="B196" t="str">
            <v/>
          </cell>
        </row>
        <row r="197">
          <cell r="B197" t="str">
            <v/>
          </cell>
        </row>
        <row r="198">
          <cell r="B198" t="str">
            <v/>
          </cell>
        </row>
        <row r="199">
          <cell r="B199" t="str">
            <v/>
          </cell>
        </row>
        <row r="200">
          <cell r="B200" t="str">
            <v/>
          </cell>
        </row>
        <row r="201">
          <cell r="B201" t="str">
            <v/>
          </cell>
        </row>
        <row r="202">
          <cell r="B202" t="str">
            <v/>
          </cell>
        </row>
        <row r="203">
          <cell r="B203" t="str">
            <v/>
          </cell>
        </row>
        <row r="204">
          <cell r="B204" t="str">
            <v/>
          </cell>
        </row>
        <row r="205">
          <cell r="B205" t="str">
            <v/>
          </cell>
        </row>
        <row r="206">
          <cell r="B206" t="str">
            <v/>
          </cell>
        </row>
        <row r="207">
          <cell r="B207" t="str">
            <v/>
          </cell>
        </row>
        <row r="208">
          <cell r="B208" t="str">
            <v/>
          </cell>
        </row>
        <row r="209">
          <cell r="B209" t="str">
            <v/>
          </cell>
        </row>
        <row r="210">
          <cell r="B210" t="str">
            <v/>
          </cell>
        </row>
        <row r="211">
          <cell r="B211" t="str">
            <v/>
          </cell>
        </row>
        <row r="212">
          <cell r="B212" t="str">
            <v/>
          </cell>
        </row>
        <row r="213">
          <cell r="B213" t="str">
            <v/>
          </cell>
        </row>
        <row r="214">
          <cell r="B214" t="str">
            <v/>
          </cell>
        </row>
        <row r="215">
          <cell r="B215" t="str">
            <v/>
          </cell>
        </row>
        <row r="216">
          <cell r="B216" t="str">
            <v/>
          </cell>
        </row>
        <row r="217">
          <cell r="B217" t="str">
            <v/>
          </cell>
        </row>
        <row r="218">
          <cell r="B218" t="str">
            <v/>
          </cell>
        </row>
        <row r="219">
          <cell r="B219" t="str">
            <v/>
          </cell>
        </row>
        <row r="220">
          <cell r="B220" t="str">
            <v/>
          </cell>
        </row>
        <row r="221">
          <cell r="B221" t="str">
            <v/>
          </cell>
        </row>
        <row r="222">
          <cell r="B222" t="str">
            <v/>
          </cell>
        </row>
        <row r="223">
          <cell r="B223" t="str">
            <v/>
          </cell>
        </row>
        <row r="224">
          <cell r="B224" t="str">
            <v/>
          </cell>
        </row>
        <row r="225">
          <cell r="B225" t="str">
            <v/>
          </cell>
        </row>
        <row r="226">
          <cell r="B226" t="str">
            <v/>
          </cell>
        </row>
        <row r="227">
          <cell r="B227" t="str">
            <v/>
          </cell>
        </row>
        <row r="228">
          <cell r="B228" t="str">
            <v/>
          </cell>
        </row>
        <row r="229">
          <cell r="B229" t="str">
            <v/>
          </cell>
        </row>
        <row r="230">
          <cell r="B230" t="str">
            <v/>
          </cell>
        </row>
        <row r="231">
          <cell r="B231" t="str">
            <v/>
          </cell>
        </row>
        <row r="232">
          <cell r="B232" t="str">
            <v/>
          </cell>
        </row>
        <row r="233">
          <cell r="B233" t="str">
            <v/>
          </cell>
        </row>
        <row r="234">
          <cell r="B234" t="str">
            <v/>
          </cell>
        </row>
        <row r="235">
          <cell r="B235" t="str">
            <v/>
          </cell>
        </row>
        <row r="236">
          <cell r="B236" t="str">
            <v/>
          </cell>
        </row>
        <row r="237">
          <cell r="B237" t="str">
            <v/>
          </cell>
        </row>
        <row r="238">
          <cell r="B238" t="str">
            <v/>
          </cell>
        </row>
        <row r="239">
          <cell r="B239" t="str">
            <v/>
          </cell>
        </row>
        <row r="240">
          <cell r="B240" t="str">
            <v/>
          </cell>
        </row>
        <row r="241">
          <cell r="B241" t="str">
            <v/>
          </cell>
        </row>
        <row r="242">
          <cell r="B242" t="str">
            <v/>
          </cell>
        </row>
        <row r="243">
          <cell r="B243" t="str">
            <v/>
          </cell>
        </row>
        <row r="244">
          <cell r="B244" t="str">
            <v/>
          </cell>
        </row>
        <row r="245">
          <cell r="B245" t="str">
            <v/>
          </cell>
        </row>
        <row r="246">
          <cell r="B246" t="str">
            <v/>
          </cell>
        </row>
        <row r="247">
          <cell r="B247" t="str">
            <v/>
          </cell>
        </row>
        <row r="248">
          <cell r="B248" t="str">
            <v/>
          </cell>
        </row>
        <row r="249">
          <cell r="B249" t="str">
            <v/>
          </cell>
        </row>
        <row r="250">
          <cell r="B250" t="str">
            <v/>
          </cell>
        </row>
        <row r="251">
          <cell r="B251" t="str">
            <v/>
          </cell>
        </row>
        <row r="252">
          <cell r="B252" t="str">
            <v/>
          </cell>
        </row>
        <row r="253">
          <cell r="B253" t="str">
            <v/>
          </cell>
        </row>
        <row r="254">
          <cell r="B254" t="str">
            <v/>
          </cell>
        </row>
        <row r="255">
          <cell r="B255" t="str">
            <v/>
          </cell>
        </row>
        <row r="256">
          <cell r="B256" t="str">
            <v/>
          </cell>
        </row>
        <row r="257">
          <cell r="B257" t="str">
            <v/>
          </cell>
        </row>
        <row r="258">
          <cell r="B258" t="str">
            <v/>
          </cell>
        </row>
        <row r="259">
          <cell r="B259" t="str">
            <v/>
          </cell>
        </row>
        <row r="260">
          <cell r="B260" t="str">
            <v/>
          </cell>
        </row>
        <row r="261">
          <cell r="B261" t="str">
            <v/>
          </cell>
        </row>
        <row r="262">
          <cell r="B262" t="str">
            <v/>
          </cell>
        </row>
        <row r="263">
          <cell r="B263" t="str">
            <v/>
          </cell>
        </row>
        <row r="264">
          <cell r="B264" t="str">
            <v/>
          </cell>
        </row>
        <row r="265">
          <cell r="B265" t="str">
            <v/>
          </cell>
        </row>
        <row r="266">
          <cell r="B266" t="str">
            <v/>
          </cell>
        </row>
        <row r="267">
          <cell r="B267" t="str">
            <v/>
          </cell>
        </row>
        <row r="268">
          <cell r="B268" t="str">
            <v/>
          </cell>
        </row>
        <row r="269">
          <cell r="B269" t="str">
            <v/>
          </cell>
        </row>
        <row r="270">
          <cell r="B270" t="str">
            <v/>
          </cell>
        </row>
        <row r="271">
          <cell r="B271" t="str">
            <v/>
          </cell>
        </row>
        <row r="272">
          <cell r="B272" t="str">
            <v/>
          </cell>
        </row>
        <row r="273">
          <cell r="B273" t="str">
            <v/>
          </cell>
        </row>
        <row r="274">
          <cell r="B274" t="str">
            <v/>
          </cell>
        </row>
        <row r="275">
          <cell r="B275" t="str">
            <v/>
          </cell>
        </row>
        <row r="276">
          <cell r="B276" t="str">
            <v/>
          </cell>
        </row>
        <row r="277">
          <cell r="B277" t="str">
            <v/>
          </cell>
        </row>
        <row r="278">
          <cell r="B278" t="str">
            <v/>
          </cell>
        </row>
        <row r="279">
          <cell r="B279" t="str">
            <v/>
          </cell>
        </row>
        <row r="280">
          <cell r="B280" t="str">
            <v/>
          </cell>
        </row>
        <row r="281">
          <cell r="B281" t="str">
            <v/>
          </cell>
        </row>
        <row r="282">
          <cell r="B282" t="str">
            <v/>
          </cell>
        </row>
        <row r="283">
          <cell r="B283" t="str">
            <v/>
          </cell>
        </row>
        <row r="284">
          <cell r="B284" t="str">
            <v/>
          </cell>
        </row>
        <row r="285">
          <cell r="B285" t="str">
            <v/>
          </cell>
        </row>
        <row r="286">
          <cell r="B286" t="str">
            <v/>
          </cell>
        </row>
        <row r="287">
          <cell r="B287" t="str">
            <v/>
          </cell>
        </row>
        <row r="288">
          <cell r="B288" t="str">
            <v/>
          </cell>
        </row>
        <row r="289">
          <cell r="B289" t="str">
            <v/>
          </cell>
        </row>
        <row r="290">
          <cell r="B290" t="str">
            <v/>
          </cell>
        </row>
        <row r="291">
          <cell r="B291" t="str">
            <v/>
          </cell>
        </row>
        <row r="292">
          <cell r="B292" t="str">
            <v/>
          </cell>
        </row>
        <row r="293">
          <cell r="B293" t="str">
            <v/>
          </cell>
        </row>
        <row r="294">
          <cell r="B294" t="str">
            <v/>
          </cell>
        </row>
        <row r="295">
          <cell r="B295" t="str">
            <v/>
          </cell>
        </row>
        <row r="296">
          <cell r="B296" t="str">
            <v/>
          </cell>
        </row>
        <row r="297">
          <cell r="B297" t="str">
            <v/>
          </cell>
        </row>
        <row r="298">
          <cell r="B298" t="str">
            <v/>
          </cell>
        </row>
        <row r="299">
          <cell r="B299" t="str">
            <v/>
          </cell>
        </row>
        <row r="300">
          <cell r="B300" t="str">
            <v/>
          </cell>
        </row>
        <row r="301">
          <cell r="B301" t="str">
            <v/>
          </cell>
        </row>
        <row r="302">
          <cell r="B302" t="str">
            <v/>
          </cell>
        </row>
        <row r="303">
          <cell r="B303" t="str">
            <v/>
          </cell>
        </row>
        <row r="304">
          <cell r="B304" t="str">
            <v/>
          </cell>
        </row>
        <row r="305">
          <cell r="B305" t="str">
            <v/>
          </cell>
        </row>
        <row r="306">
          <cell r="B306" t="str">
            <v/>
          </cell>
        </row>
        <row r="307">
          <cell r="B307" t="str">
            <v/>
          </cell>
        </row>
        <row r="308">
          <cell r="B308" t="str">
            <v/>
          </cell>
        </row>
        <row r="309">
          <cell r="B309" t="str">
            <v/>
          </cell>
        </row>
        <row r="310">
          <cell r="B310" t="str">
            <v/>
          </cell>
        </row>
        <row r="311">
          <cell r="B311" t="str">
            <v/>
          </cell>
        </row>
        <row r="312">
          <cell r="B312" t="str">
            <v/>
          </cell>
        </row>
        <row r="313">
          <cell r="B313" t="str">
            <v/>
          </cell>
        </row>
        <row r="314">
          <cell r="B314" t="str">
            <v/>
          </cell>
        </row>
        <row r="315">
          <cell r="B315" t="str">
            <v/>
          </cell>
        </row>
        <row r="316">
          <cell r="B316" t="str">
            <v/>
          </cell>
        </row>
        <row r="317">
          <cell r="B317" t="str">
            <v/>
          </cell>
        </row>
        <row r="318">
          <cell r="B318" t="str">
            <v/>
          </cell>
        </row>
        <row r="319">
          <cell r="B319" t="str">
            <v/>
          </cell>
        </row>
        <row r="320">
          <cell r="B320" t="str">
            <v/>
          </cell>
        </row>
        <row r="321">
          <cell r="B321" t="str">
            <v/>
          </cell>
        </row>
        <row r="322">
          <cell r="B322" t="str">
            <v/>
          </cell>
        </row>
        <row r="323">
          <cell r="B323" t="str">
            <v/>
          </cell>
        </row>
        <row r="324">
          <cell r="B324" t="str">
            <v/>
          </cell>
        </row>
        <row r="325">
          <cell r="B325" t="str">
            <v/>
          </cell>
        </row>
        <row r="326">
          <cell r="B326" t="str">
            <v/>
          </cell>
        </row>
        <row r="327">
          <cell r="B327" t="str">
            <v/>
          </cell>
        </row>
        <row r="328">
          <cell r="B328" t="str">
            <v/>
          </cell>
        </row>
        <row r="329">
          <cell r="B329" t="str">
            <v/>
          </cell>
        </row>
        <row r="330">
          <cell r="B330" t="str">
            <v/>
          </cell>
        </row>
        <row r="331">
          <cell r="B331" t="str">
            <v/>
          </cell>
        </row>
        <row r="332">
          <cell r="B332" t="str">
            <v/>
          </cell>
        </row>
        <row r="333">
          <cell r="B333" t="str">
            <v/>
          </cell>
        </row>
        <row r="334">
          <cell r="B334" t="str">
            <v/>
          </cell>
        </row>
        <row r="335">
          <cell r="B335" t="str">
            <v/>
          </cell>
        </row>
        <row r="336">
          <cell r="B336" t="str">
            <v/>
          </cell>
        </row>
        <row r="337">
          <cell r="B337" t="str">
            <v/>
          </cell>
        </row>
        <row r="338">
          <cell r="B338" t="str">
            <v/>
          </cell>
        </row>
        <row r="339">
          <cell r="B339" t="str">
            <v/>
          </cell>
        </row>
        <row r="340">
          <cell r="B340" t="str">
            <v/>
          </cell>
        </row>
        <row r="341">
          <cell r="B341" t="str">
            <v/>
          </cell>
        </row>
        <row r="342">
          <cell r="B342" t="str">
            <v/>
          </cell>
        </row>
        <row r="343">
          <cell r="B343" t="str">
            <v/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CC3C44-1CAD-4E5A-955E-D7ACCED74482}" name="Tabela3" displayName="Tabela3" ref="O26:S35" totalsRowShown="0" headerRowDxfId="83" dataDxfId="82">
  <autoFilter ref="O26:S35" xr:uid="{FFCC3C44-1CAD-4E5A-955E-D7ACCED74482}"/>
  <tableColumns count="5">
    <tableColumn id="1" xr3:uid="{6B4D1C90-436A-4487-8B38-05FA483EFB2C}" name="Clichê" dataDxfId="81"/>
    <tableColumn id="2" xr3:uid="{E6AC7155-EC99-4DAB-BAE6-240B255C0965}" name="Valor Clichê" dataDxfId="80" dataCellStyle="Moeda">
      <calculatedColumnFormula>IF(Tabela3[[#This Row],[Clichê]]="","",_xlfn.XLOOKUP(Tabela3[[#This Row],[Clichê]],[1]!HotStamping[ID],[1]!HotStamping[Valor Clichê],"Valor Não Encontrado",0,1))</calculatedColumnFormula>
    </tableColumn>
    <tableColumn id="3" xr3:uid="{0C6E56DC-90B0-4C20-80FC-7A62EDE7B168}" name="Quantidade" dataDxfId="79"/>
    <tableColumn id="4" xr3:uid="{AFDD145A-B3DD-40E9-A6FF-ED9F43900F2E}" name="Valor Final" dataDxfId="78" dataCellStyle="Moeda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calculatedColumnFormula>
    </tableColumn>
    <tableColumn id="5" xr3:uid="{94A1629B-1ADB-4DA6-B675-79C3E8C61EF1}" name="OBS" dataDxfId="77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67FBB6-3AA2-4CEB-9A78-5A9EA58C4152}" name="Tabela32" displayName="Tabela32" ref="O26:S35" totalsRowShown="0" headerRowDxfId="76" dataDxfId="75">
  <autoFilter ref="O26:S35" xr:uid="{D667FBB6-3AA2-4CEB-9A78-5A9EA58C4152}"/>
  <tableColumns count="5">
    <tableColumn id="1" xr3:uid="{B1E52DA5-D382-4D5E-92D9-FEEEDA59F94C}" name="Clichê" dataDxfId="74">
      <calculatedColumnFormula>IF('Tiragem - 1'!O27=0,"",'Tiragem - 1'!O27)</calculatedColumnFormula>
    </tableColumn>
    <tableColumn id="2" xr3:uid="{EA1151D7-E332-43FF-A419-147ED0C9597C}" name="Valor Clichê" dataDxfId="73" dataCellStyle="Moeda">
      <calculatedColumnFormula>IF(Tabela32[[#This Row],[Clichê]]="","",_xlfn.XLOOKUP(Tabela32[[#This Row],[Clichê]],[1]!HotStamping[ID],[1]!HotStamping[Valor Clichê],"Valor Não Encontrado",0,1))</calculatedColumnFormula>
    </tableColumn>
    <tableColumn id="3" xr3:uid="{7810F0EB-1251-48AC-8062-D21984A713F3}" name="Quantidade" dataDxfId="72"/>
    <tableColumn id="4" xr3:uid="{F48B5139-56D1-4FB8-82E0-A43A3A59C35B}" name="Valor Final" dataDxfId="71" dataCellStyle="Moeda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calculatedColumnFormula>
    </tableColumn>
    <tableColumn id="5" xr3:uid="{74D3168C-38A3-46F9-8E63-6043F454FB8E}" name="OBS" dataDxfId="70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53363D-C9A9-4EF5-8963-916E8D30EAB7}" name="Tabela33" displayName="Tabela33" ref="O26:S35" totalsRowShown="0" headerRowDxfId="69" dataDxfId="68">
  <autoFilter ref="O26:S35" xr:uid="{D153363D-C9A9-4EF5-8963-916E8D30EAB7}"/>
  <tableColumns count="5">
    <tableColumn id="1" xr3:uid="{3061DAEE-28C0-4AE0-A271-81F44FE1B594}" name="Clichê" dataDxfId="67">
      <calculatedColumnFormula>IF('Tiragem - 1'!O27=0,"",'Tiragem - 1'!O27)</calculatedColumnFormula>
    </tableColumn>
    <tableColumn id="2" xr3:uid="{43BD9585-7987-45CD-BCFD-E15576371C86}" name="Valor Clichê" dataDxfId="66" dataCellStyle="Moeda">
      <calculatedColumnFormula>IF(Tabela33[[#This Row],[Clichê]]="","",_xlfn.XLOOKUP(Tabela33[[#This Row],[Clichê]],[1]!HotStamping[ID],[1]!HotStamping[Valor Clichê],"Valor Não Encontrado",0,1))</calculatedColumnFormula>
    </tableColumn>
    <tableColumn id="3" xr3:uid="{301CBE77-593A-407B-ACE1-A56B332D482D}" name="Quantidade" dataDxfId="65"/>
    <tableColumn id="4" xr3:uid="{294777C8-A1DA-497F-8D00-7C80FD6707AF}" name="Valor Final" dataDxfId="64" dataCellStyle="Moeda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calculatedColumnFormula>
    </tableColumn>
    <tableColumn id="5" xr3:uid="{22E1E011-F183-4FDB-BE2B-FCAF8A220BA5}" name="OBS" dataDxfId="63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591430-6F9B-4F32-A99A-2747106C81E5}" name="Tabela339" displayName="Tabela339" ref="O26:S35" totalsRowShown="0" headerRowDxfId="62" dataDxfId="61">
  <autoFilter ref="O26:S35" xr:uid="{D153363D-C9A9-4EF5-8963-916E8D30EAB7}"/>
  <tableColumns count="5">
    <tableColumn id="1" xr3:uid="{8852BAF3-80D7-4750-853D-00929EC618FD}" name="Clichê" dataDxfId="60">
      <calculatedColumnFormula>IF('Tiragem - 1'!O27=0,"",'Tiragem - 1'!O27)</calculatedColumnFormula>
    </tableColumn>
    <tableColumn id="2" xr3:uid="{C9F2D34E-796A-4CBE-85D4-D4EAE12D0653}" name="Valor Clichê" dataDxfId="59" dataCellStyle="Moeda">
      <calculatedColumnFormula>IF(Tabela339[[#This Row],[Clichê]]="","",_xlfn.XLOOKUP(Tabela339[[#This Row],[Clichê]],[1]!HotStamping[ID],[1]!HotStamping[Valor Clichê],"Valor Não Encontrado",0,1))</calculatedColumnFormula>
    </tableColumn>
    <tableColumn id="3" xr3:uid="{4D3EC441-7A81-43ED-BBBD-CB3B47453F22}" name="Quantidade" dataDxfId="58"/>
    <tableColumn id="4" xr3:uid="{02458D46-2637-4C75-83A2-B8CBB05C2887}" name="Valor Final" dataDxfId="57" dataCellStyle="Moeda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calculatedColumnFormula>
    </tableColumn>
    <tableColumn id="5" xr3:uid="{E9023916-70CD-4247-8EF2-032F5519CFE1}" name="OBS" dataDxfId="56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B4990C-C02F-4152-AB54-68DAFB350FC7}" name="Tabela4" displayName="Tabela4" ref="B3:B50" totalsRowShown="0" headerRowDxfId="20" dataDxfId="19">
  <autoFilter ref="B3:B50" xr:uid="{58B4990C-C02F-4152-AB54-68DAFB350FC7}"/>
  <sortState xmlns:xlrd2="http://schemas.microsoft.com/office/spreadsheetml/2017/richdata2" ref="B4:B8">
    <sortCondition ref="B3:B50"/>
  </sortState>
  <tableColumns count="1">
    <tableColumn id="1" xr3:uid="{EFCFE51E-D9B0-456A-A4A5-AE4255A37A1F}" name="Tipos de Material" dataDxfId="1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6C778C-FCEF-4489-9367-9D077DFCD490}" name="Cores" displayName="Cores" ref="D3:E8" totalsRowShown="0" headerRowDxfId="17" dataDxfId="16" tableBorderDxfId="15">
  <autoFilter ref="D3:E8" xr:uid="{2D6C778C-FCEF-4489-9367-9D077DFCD490}"/>
  <tableColumns count="2">
    <tableColumn id="1" xr3:uid="{97913FFD-BCF4-4BF9-A37B-0B818F2E7980}" name="Cores" dataDxfId="14"/>
    <tableColumn id="2" xr3:uid="{9F30A5F1-B82B-48F0-9AF6-8CF19FA244F9}" name="Descrição" dataDxfId="1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1BBA7-3FBA-4929-9437-09F16222788D}" name="Tabela6" displayName="Tabela6" ref="G3:G8" totalsRowShown="0" headerRowDxfId="12" dataDxfId="11">
  <autoFilter ref="G3:G8" xr:uid="{59F1BBA7-3FBA-4929-9437-09F16222788D}"/>
  <tableColumns count="1">
    <tableColumn id="1" xr3:uid="{430A0CC3-ED85-4082-A8BE-5CE5E24FE05F}" name="1X0" dataDxfId="1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C3DCF0-A344-47BE-98F0-872D1292B3D4}" name="Tabela7" displayName="Tabela7" ref="I3:I8" totalsRowShown="0" headerRowDxfId="9" dataDxfId="8" tableBorderDxfId="7">
  <autoFilter ref="I3:I8" xr:uid="{09C3DCF0-A344-47BE-98F0-872D1292B3D4}"/>
  <tableColumns count="1">
    <tableColumn id="1" xr3:uid="{042EAF0E-6C55-409B-8566-9C7817F6C7BF}" name="Lados" dataDxfId="6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78A185-BE0B-4688-B23E-0D304E32A849}" name="Tabela11" displayName="Tabela11" ref="K3:K13" totalsRowShown="0" headerRowDxfId="5" dataDxfId="4">
  <autoFilter ref="K3:K13" xr:uid="{4578A185-BE0B-4688-B23E-0D304E32A849}"/>
  <tableColumns count="1">
    <tableColumn id="1" xr3:uid="{1E26AE01-8352-49BB-BA10-6EA08A8C6681}" name="Dados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BA14E-7591-40F7-B3CA-9043EEA13382}">
  <sheetPr codeName="Planilha1"/>
  <dimension ref="B2:Z35"/>
  <sheetViews>
    <sheetView workbookViewId="0">
      <selection activeCell="B3" sqref="B3:D3"/>
    </sheetView>
  </sheetViews>
  <sheetFormatPr defaultRowHeight="15" x14ac:dyDescent="0.25"/>
  <cols>
    <col min="1" max="1" width="2.85546875" customWidth="1"/>
    <col min="2" max="2" width="18" bestFit="1" customWidth="1"/>
    <col min="3" max="3" width="13" customWidth="1"/>
    <col min="4" max="4" width="3.140625" customWidth="1"/>
    <col min="5" max="5" width="9.140625" customWidth="1"/>
    <col min="6" max="6" width="10.5703125" bestFit="1" customWidth="1"/>
    <col min="7" max="7" width="11.42578125" customWidth="1"/>
    <col min="8" max="8" width="18.28515625" customWidth="1"/>
    <col min="9" max="9" width="10.5703125" style="57" bestFit="1" customWidth="1"/>
    <col min="10" max="10" width="9.140625" customWidth="1"/>
    <col min="11" max="11" width="15.7109375" customWidth="1"/>
    <col min="12" max="12" width="12.140625" bestFit="1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3" t="s">
        <v>3</v>
      </c>
      <c r="C2" s="103"/>
      <c r="D2" s="10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4" t="s">
        <v>22</v>
      </c>
      <c r="O2" s="104"/>
      <c r="P2" s="104"/>
      <c r="Q2" s="104"/>
      <c r="R2" s="104"/>
      <c r="S2" s="104"/>
      <c r="U2" t="s">
        <v>24</v>
      </c>
    </row>
    <row r="3" spans="2:23" x14ac:dyDescent="0.25">
      <c r="B3" s="100"/>
      <c r="C3" s="101"/>
      <c r="D3" s="10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0"/>
      <c r="C4" s="101"/>
      <c r="D4" s="10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>
        <f>IFERROR(J4*C25,"")</f>
        <v>0</v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0"/>
      <c r="C5" s="101"/>
      <c r="D5" s="10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>
        <f>IFERROR(J5*C26,"")</f>
        <v>0</v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*250 unidades / R$ 0,00 a unidade*</v>
      </c>
    </row>
    <row r="6" spans="2:23" x14ac:dyDescent="0.25">
      <c r="B6" s="100"/>
      <c r="C6" s="101"/>
      <c r="D6" s="10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>
        <f>IFERROR(J6*C27,"")</f>
        <v>0</v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0"/>
      <c r="C7" s="101"/>
      <c r="D7" s="10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>
        <f>IFERROR(J7*C28,"")</f>
        <v>0</v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9" t="s">
        <v>2</v>
      </c>
      <c r="F9" s="109"/>
      <c r="G9" s="109"/>
      <c r="H9" s="10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/>
      <c r="C10" s="33"/>
      <c r="E10" s="106"/>
      <c r="F10" s="107"/>
      <c r="G10" s="107"/>
      <c r="H10" s="10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/>
      <c r="C11" s="33"/>
      <c r="E11" s="106"/>
      <c r="F11" s="107"/>
      <c r="G11" s="107"/>
      <c r="H11" s="10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/>
      <c r="C12" s="33"/>
      <c r="E12" s="106"/>
      <c r="F12" s="107"/>
      <c r="G12" s="107"/>
      <c r="H12" s="10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*250 unidades / R$ 0,00 a unidade*</v>
      </c>
    </row>
    <row r="13" spans="2:23" x14ac:dyDescent="0.25">
      <c r="B13" s="5"/>
      <c r="C13" s="33"/>
      <c r="E13" s="106"/>
      <c r="F13" s="107"/>
      <c r="G13" s="107"/>
      <c r="H13" s="10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/>
      <c r="C14" s="33"/>
      <c r="E14" s="106"/>
      <c r="F14" s="107"/>
      <c r="G14" s="107"/>
      <c r="H14" s="10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5" t="s">
        <v>15</v>
      </c>
      <c r="K16" s="105"/>
      <c r="L16" s="37">
        <v>250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/>
      <c r="C17" s="4"/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/>
      <c r="C18" s="4"/>
      <c r="E18" s="29"/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250 unidades / 2,5 Blocos / R$ 0,00 a unidade</v>
      </c>
      <c r="V18" s="18"/>
    </row>
    <row r="19" spans="2:26" x14ac:dyDescent="0.25">
      <c r="B19" s="4"/>
      <c r="C19" s="4"/>
      <c r="E19" s="29"/>
      <c r="F19" s="30">
        <f>IFERROR(VLOOKUP(E19,[1]!Extras[#Data],2,FALSE),0)</f>
        <v>0</v>
      </c>
      <c r="G19" s="32"/>
      <c r="H19" s="30">
        <f t="shared" ref="H19:H31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250 unidades / 2,5 Blocos</v>
      </c>
    </row>
    <row r="20" spans="2:26" x14ac:dyDescent="0.25">
      <c r="B20" s="4"/>
      <c r="C20" s="4"/>
      <c r="E20" s="29"/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/>
      <c r="C21" s="4"/>
      <c r="E21" s="29"/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/>
      <c r="C24" s="11"/>
      <c r="E24" s="29"/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4" t="s">
        <v>23</v>
      </c>
      <c r="O24" s="104"/>
      <c r="P24" s="104"/>
      <c r="Q24" s="104"/>
      <c r="R24" s="104"/>
      <c r="S24" s="104"/>
    </row>
    <row r="25" spans="2:26" x14ac:dyDescent="0.25">
      <c r="B25" s="11"/>
      <c r="C25" s="11"/>
      <c r="E25" s="29"/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/>
      <c r="C26" s="11"/>
      <c r="E26" s="29"/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/>
      <c r="C27" s="11"/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67"/>
      <c r="P27" s="68" t="str">
        <f>IF(Tabela3[[#This Row],[Clichê]]="","",_xlfn.XLOOKUP(Tabela3[[#This Row],[Clichê]],[1]!HotStamping[ID],[1]!HotStamping[Valor Clichê],"Valor Não Encontrado",0,1))</f>
        <v/>
      </c>
      <c r="Q27" s="67"/>
      <c r="R27" s="68" t="str" cm="1">
        <f t="array" ref="R27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7" s="67" t="str" cm="1">
        <f t="array" ref="S27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28" spans="2:26" x14ac:dyDescent="0.25">
      <c r="B28" s="11"/>
      <c r="C28" s="11"/>
      <c r="E28" s="29"/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/>
      <c r="P28" s="68" t="str">
        <f>IF(Tabela3[[#This Row],[Clichê]]="","",_xlfn.XLOOKUP(Tabela3[[#This Row],[Clichê]],[1]!HotStamping[ID],[1]!HotStamping[Valor Clichê],"Valor Não Encontrado",0,1))</f>
        <v/>
      </c>
      <c r="Q28" s="67"/>
      <c r="R28" s="68" t="str" cm="1">
        <f t="array" ref="R28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8" s="67" t="str" cm="1">
        <f t="array" ref="S28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/>
      <c r="P29" s="68" t="str">
        <f>IF(Tabela3[[#This Row],[Clichê]]="","",_xlfn.XLOOKUP(Tabela3[[#This Row],[Clichê]],[1]!HotStamping[ID],[1]!HotStamping[Valor Clichê],"Valor Não Encontrado",0,1))</f>
        <v/>
      </c>
      <c r="Q29" s="67"/>
      <c r="R29" s="68" t="str" cm="1">
        <f t="array" ref="R29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9" s="67" t="str" cm="1">
        <f t="array" ref="S29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67"/>
      <c r="P30" s="68" t="str">
        <f>IF(Tabela3[[#This Row],[Clichê]]="","",_xlfn.XLOOKUP(Tabela3[[#This Row],[Clichê]],[1]!HotStamping[ID],[1]!HotStamping[Valor Clichê],"Valor Não Encontrado",0,1))</f>
        <v/>
      </c>
      <c r="Q30" s="67"/>
      <c r="R30" s="68" t="str" cm="1">
        <f t="array" ref="R30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0" s="67" t="str" cm="1">
        <f t="array" ref="S30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/>
      <c r="P31" s="68" t="str">
        <f>IF(Tabela3[[#This Row],[Clichê]]="","",_xlfn.XLOOKUP(Tabela3[[#This Row],[Clichê]],[1]!HotStamping[ID],[1]!HotStamping[Valor Clichê],"Valor Não Encontrado",0,1))</f>
        <v/>
      </c>
      <c r="Q31" s="67"/>
      <c r="R31" s="68" t="str" cm="1">
        <f t="array" ref="R3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1" s="67" t="str" cm="1">
        <f t="array" ref="S3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SUM(L10:L14)</f>
        <v>0</v>
      </c>
      <c r="E32" s="29"/>
      <c r="F32" s="30">
        <f>IFERROR(VLOOKUP(E32,[1]!Extras[#Data],2,FALSE),0)</f>
        <v>0</v>
      </c>
      <c r="G32" s="32"/>
      <c r="H32" s="30">
        <f t="shared" ref="H32:H33" si="8">F32*G32</f>
        <v>0</v>
      </c>
      <c r="J32" s="41"/>
      <c r="K32" s="54" t="s">
        <v>34</v>
      </c>
      <c r="L32" s="44">
        <f>(C31+C30)+(C31+C30)*L18+(C32)</f>
        <v>0</v>
      </c>
      <c r="O32" s="67"/>
      <c r="P32" s="68" t="str">
        <f>IF(Tabela3[[#This Row],[Clichê]]="","",_xlfn.XLOOKUP(Tabela3[[#This Row],[Clichê]],[1]!HotStamping[ID],[1]!HotStamping[Valor Clichê],"Valor Não Encontrado",0,1))</f>
        <v/>
      </c>
      <c r="Q32" s="67"/>
      <c r="R32" s="68" t="str" cm="1">
        <f t="array" ref="R32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2" s="67" t="str" cm="1">
        <f t="array" ref="S32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/>
      <c r="F33" s="30">
        <f>IFERROR(VLOOKUP(E33,[1]!Extras[#Data],2,FALSE),0)</f>
        <v>0</v>
      </c>
      <c r="G33" s="32"/>
      <c r="H33" s="30">
        <f t="shared" si="8"/>
        <v>0</v>
      </c>
      <c r="J33" s="41"/>
      <c r="K33" s="54" t="s">
        <v>33</v>
      </c>
      <c r="L33" s="48" cm="1">
        <f t="array" ref="L33">L32*[1]!InformacoesFixas[Valor]</f>
        <v>0</v>
      </c>
      <c r="O33" s="67"/>
      <c r="P33" s="68" t="str">
        <f>IF(Tabela3[[#This Row],[Clichê]]="","",_xlfn.XLOOKUP(Tabela3[[#This Row],[Clichê]],[1]!HotStamping[ID],[1]!HotStamping[Valor Clichê],"Valor Não Encontrado",0,1))</f>
        <v/>
      </c>
      <c r="Q33" s="67"/>
      <c r="R33" s="68" t="str" cm="1">
        <f t="array" ref="R33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3" s="67" t="str" cm="1">
        <f t="array" ref="S33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/>
      <c r="F34" s="30">
        <f>IFERROR(VLOOKUP(E34,[1]!Extras[#Data],2,FALSE),0)</f>
        <v>0</v>
      </c>
      <c r="G34" s="32"/>
      <c r="H34" s="30">
        <f t="shared" ref="H34:H35" si="9">F34*G34</f>
        <v>0</v>
      </c>
      <c r="J34" s="55"/>
      <c r="K34" s="56" t="s">
        <v>17</v>
      </c>
      <c r="L34" s="40">
        <f>(L31-C34)-L33</f>
        <v>0</v>
      </c>
      <c r="O34" s="67"/>
      <c r="P34" s="68" t="str">
        <f>IF(Tabela3[[#This Row],[Clichê]]="","",_xlfn.XLOOKUP(Tabela3[[#This Row],[Clichê]],[1]!HotStamping[ID],[1]!HotStamping[Valor Clichê],"Valor Não Encontrado",0,1))</f>
        <v/>
      </c>
      <c r="Q34" s="67"/>
      <c r="R34" s="68" t="str" cm="1">
        <f t="array" ref="R34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4" s="67" t="str" cm="1">
        <f t="array" ref="S34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9"/>
        <v>0</v>
      </c>
      <c r="J35" s="41"/>
      <c r="K35" s="54" t="s">
        <v>36</v>
      </c>
      <c r="L35" s="49">
        <f>IFERROR(L31*L28,"")</f>
        <v>0</v>
      </c>
      <c r="O35" s="67"/>
      <c r="P35" s="68" t="str">
        <f>IF(Tabela3[[#This Row],[Clichê]]="","",_xlfn.XLOOKUP(Tabela3[[#This Row],[Clichê]],[1]!HotStamping[ID],[1]!HotStamping[Valor Clichê],"Valor Não Encontrado",0,1))</f>
        <v/>
      </c>
      <c r="Q35" s="67"/>
      <c r="R35" s="68" t="str" cm="1">
        <f t="array" ref="R35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5" s="67" t="str" cm="1">
        <f t="array" ref="S35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</sheetData>
  <mergeCells count="15">
    <mergeCell ref="N2:S2"/>
    <mergeCell ref="N24:S24"/>
    <mergeCell ref="J16:K16"/>
    <mergeCell ref="E10:H10"/>
    <mergeCell ref="E11:H11"/>
    <mergeCell ref="E12:H12"/>
    <mergeCell ref="E13:H13"/>
    <mergeCell ref="E14:H14"/>
    <mergeCell ref="E9:H9"/>
    <mergeCell ref="B7:D7"/>
    <mergeCell ref="B2:D2"/>
    <mergeCell ref="B3:D3"/>
    <mergeCell ref="B4:D4"/>
    <mergeCell ref="B5:D5"/>
    <mergeCell ref="B6:D6"/>
  </mergeCells>
  <phoneticPr fontId="1" type="noConversion"/>
  <dataValidations count="9">
    <dataValidation type="list" allowBlank="1" showInputMessage="1" showErrorMessage="1" sqref="B3:B7" xr:uid="{C3258808-CC5D-409A-90BC-0975DD9E7DA5}">
      <formula1>PapelTipo</formula1>
    </dataValidation>
    <dataValidation type="list" allowBlank="1" showInputMessage="1" showErrorMessage="1" sqref="B10:B14" xr:uid="{0A8D8504-A506-48F1-9DB5-6EBB7F291416}">
      <formula1>Formato</formula1>
    </dataValidation>
    <dataValidation type="list" allowBlank="1" showInputMessage="1" showErrorMessage="1" sqref="B17:B21" xr:uid="{AFC25155-31E4-4DF3-AB78-20A3BDF253C1}">
      <formula1>PrimeiroEquipamento</formula1>
    </dataValidation>
    <dataValidation type="list" allowBlank="1" showInputMessage="1" showErrorMessage="1" sqref="B24:B28" xr:uid="{D8FA8852-460E-4911-AB84-2E73CB11FA24}">
      <formula1>SegundoEquipamento</formula1>
    </dataValidation>
    <dataValidation type="list" allowBlank="1" showInputMessage="1" showErrorMessage="1" sqref="C24:C28 C17:C21" xr:uid="{FA23D6D7-ABE6-4FE1-AB70-221165B1A2A2}">
      <formula1>DefineMilheiro</formula1>
    </dataValidation>
    <dataValidation type="list" allowBlank="1" showInputMessage="1" showErrorMessage="1" sqref="E10:E14" xr:uid="{A0E515B1-4FA5-4AF5-A5AF-6F0D61B4C475}">
      <formula1>DefineAcabamento</formula1>
    </dataValidation>
    <dataValidation type="list" allowBlank="1" showInputMessage="1" showErrorMessage="1" sqref="E17:E35" xr:uid="{5AA19870-5BEF-464F-9D1A-BC7A0F607B91}">
      <formula1>DefineExtra</formula1>
    </dataValidation>
    <dataValidation type="list" allowBlank="1" showInputMessage="1" showErrorMessage="1" sqref="L29" xr:uid="{F93388E8-283D-4E86-841A-5F36BF73CF67}">
      <formula1>$N$3:$N$12</formula1>
    </dataValidation>
    <dataValidation type="list" allowBlank="1" showInputMessage="1" showErrorMessage="1" sqref="O27:O35" xr:uid="{76F47002-4A73-4B5C-9645-2D84E4CA5074}">
      <formula1>Clichê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G3:G7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D4AD-DA18-4354-8D47-3741994ECBAD}">
  <sheetPr codeName="Planilha2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3" t="s">
        <v>3</v>
      </c>
      <c r="C2" s="103"/>
      <c r="D2" s="10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4" t="s">
        <v>22</v>
      </c>
      <c r="O2" s="104"/>
      <c r="P2" s="104"/>
      <c r="Q2" s="104"/>
      <c r="R2" s="104"/>
      <c r="S2" s="104"/>
      <c r="U2" t="s">
        <v>24</v>
      </c>
    </row>
    <row r="3" spans="2:23" x14ac:dyDescent="0.25">
      <c r="B3" s="100" t="str">
        <f>IF('Tiragem - 1'!B3=0,"",'Tiragem - 1'!B3)</f>
        <v/>
      </c>
      <c r="C3" s="101"/>
      <c r="D3" s="10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0" t="str">
        <f>IF('Tiragem - 1'!B4=0,"",'Tiragem - 1'!B4)</f>
        <v/>
      </c>
      <c r="C4" s="101"/>
      <c r="D4" s="10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0" t="str">
        <f>IF('Tiragem - 1'!B5=0,"",'Tiragem - 1'!B5)</f>
        <v/>
      </c>
      <c r="C5" s="101"/>
      <c r="D5" s="10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*500 unidades / R$ 0,00 a unidade*</v>
      </c>
    </row>
    <row r="6" spans="2:23" x14ac:dyDescent="0.25">
      <c r="B6" s="100" t="str">
        <f>IF('Tiragem - 1'!B6=0,"",'Tiragem - 1'!B6)</f>
        <v/>
      </c>
      <c r="C6" s="101"/>
      <c r="D6" s="10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0" t="str">
        <f>IF('Tiragem - 1'!B7=0,"",'Tiragem - 1'!B7)</f>
        <v/>
      </c>
      <c r="C7" s="101"/>
      <c r="D7" s="10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9" t="s">
        <v>2</v>
      </c>
      <c r="F9" s="109"/>
      <c r="G9" s="109"/>
      <c r="H9" s="10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6" t="str">
        <f>IF('Tiragem - 1'!E10=0,"",'Tiragem - 1'!E10)</f>
        <v/>
      </c>
      <c r="F10" s="107"/>
      <c r="G10" s="107"/>
      <c r="H10" s="10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6" t="str">
        <f>IF('Tiragem - 1'!E11=0,"",'Tiragem - 1'!E11)</f>
        <v/>
      </c>
      <c r="F11" s="107"/>
      <c r="G11" s="107"/>
      <c r="H11" s="10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6" t="str">
        <f>IF('Tiragem - 1'!E12=0,"",'Tiragem - 1'!E12)</f>
        <v/>
      </c>
      <c r="F12" s="107"/>
      <c r="G12" s="107"/>
      <c r="H12" s="10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*500 unidades / R$ 0,00 a unidade*</v>
      </c>
    </row>
    <row r="13" spans="2:23" x14ac:dyDescent="0.25">
      <c r="B13" s="5" t="str">
        <f>IF('Tiragem - 1'!B13=0,"",'Tiragem - 1'!B13)</f>
        <v/>
      </c>
      <c r="C13" s="33"/>
      <c r="E13" s="106" t="str">
        <f>IF('Tiragem - 1'!E13=0,"",'Tiragem - 1'!E13)</f>
        <v/>
      </c>
      <c r="F13" s="107"/>
      <c r="G13" s="107"/>
      <c r="H13" s="10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6" t="str">
        <f>IF('Tiragem - 1'!E14=0,"",'Tiragem - 1'!E14)</f>
        <v/>
      </c>
      <c r="F14" s="107"/>
      <c r="G14" s="107"/>
      <c r="H14" s="10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5" t="s">
        <v>15</v>
      </c>
      <c r="K16" s="105"/>
      <c r="L16" s="37">
        <v>500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500 unidades / 5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500 unidades / 5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4" t="s">
        <v>23</v>
      </c>
      <c r="O24" s="104"/>
      <c r="P24" s="104"/>
      <c r="Q24" s="104"/>
      <c r="R24" s="104"/>
      <c r="S24" s="104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IF(Tabela32[[#This Row],[Clichê]]="","",_xlfn.XLOOKUP(Tabela32[[#This Row],[Clichê]],[1]!HotStamping[ID],[1]!HotStamping[Valor Clichê],"Valor Não Encontrado",0,1))</f>
        <v/>
      </c>
      <c r="Q27" s="67"/>
      <c r="R27" s="68" t="str" cm="1">
        <f t="array" ref="R27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7" s="67" t="str" cm="1">
        <f t="array" ref="S27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IF(Tabela32[[#This Row],[Clichê]]="","",_xlfn.XLOOKUP(Tabela32[[#This Row],[Clichê]],[1]!HotStamping[ID],[1]!HotStamping[Valor Clichê],"Valor Não Encontrado",0,1))</f>
        <v/>
      </c>
      <c r="Q28" s="67"/>
      <c r="R28" s="68" t="str" cm="1">
        <f t="array" ref="R28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8" s="67" t="str" cm="1">
        <f t="array" ref="S28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IF(Tabela32[[#This Row],[Clichê]]="","",_xlfn.XLOOKUP(Tabela32[[#This Row],[Clichê]],[1]!HotStamping[ID],[1]!HotStamping[Valor Clichê],"Valor Não Encontrado",0,1))</f>
        <v/>
      </c>
      <c r="Q29" s="67"/>
      <c r="R29" s="68" t="str" cm="1">
        <f t="array" ref="R29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9" s="67" t="str" cm="1">
        <f t="array" ref="S29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IF(Tabela32[[#This Row],[Clichê]]="","",_xlfn.XLOOKUP(Tabela32[[#This Row],[Clichê]],[1]!HotStamping[ID],[1]!HotStamping[Valor Clichê],"Valor Não Encontrado",0,1))</f>
        <v/>
      </c>
      <c r="Q30" s="67"/>
      <c r="R30" s="68" t="str" cm="1">
        <f t="array" ref="R30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0" s="67" t="str" cm="1">
        <f t="array" ref="S30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IF(Tabela32[[#This Row],[Clichê]]="","",_xlfn.XLOOKUP(Tabela32[[#This Row],[Clichê]],[1]!HotStamping[ID],[1]!HotStamping[Valor Clichê],"Valor Não Encontrado",0,1))</f>
        <v/>
      </c>
      <c r="Q31" s="67"/>
      <c r="R31" s="68" t="str" cm="1">
        <f t="array" ref="R3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1" s="67" t="str" cm="1">
        <f t="array" ref="S3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IF(Tabela32[[#This Row],[Clichê]]="","",_xlfn.XLOOKUP(Tabela32[[#This Row],[Clichê]],[1]!HotStamping[ID],[1]!HotStamping[Valor Clichê],"Valor Não Encontrado",0,1))</f>
        <v/>
      </c>
      <c r="Q32" s="67"/>
      <c r="R32" s="68" t="str" cm="1">
        <f t="array" ref="R32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2" s="67" t="str" cm="1">
        <f t="array" ref="S32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IF(Tabela32[[#This Row],[Clichê]]="","",_xlfn.XLOOKUP(Tabela32[[#This Row],[Clichê]],[1]!HotStamping[ID],[1]!HotStamping[Valor Clichê],"Valor Não Encontrado",0,1))</f>
        <v/>
      </c>
      <c r="Q33" s="67"/>
      <c r="R33" s="68" t="str" cm="1">
        <f t="array" ref="R33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3" s="67" t="str" cm="1">
        <f t="array" ref="S33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IF(Tabela32[[#This Row],[Clichê]]="","",_xlfn.XLOOKUP(Tabela32[[#This Row],[Clichê]],[1]!HotStamping[ID],[1]!HotStamping[Valor Clichê],"Valor Não Encontrado",0,1))</f>
        <v/>
      </c>
      <c r="Q34" s="67"/>
      <c r="R34" s="68" t="str" cm="1">
        <f t="array" ref="R34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4" s="67" t="str" cm="1">
        <f t="array" ref="S34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IF(Tabela32[[#This Row],[Clichê]]="","",_xlfn.XLOOKUP(Tabela32[[#This Row],[Clichê]],[1]!HotStamping[ID],[1]!HotStamping[Valor Clichê],"Valor Não Encontrado",0,1))</f>
        <v/>
      </c>
      <c r="Q35" s="67"/>
      <c r="R35" s="68" t="str" cm="1">
        <f t="array" ref="R35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5" s="67" t="str" cm="1">
        <f t="array" ref="S35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</sheetData>
  <mergeCells count="15">
    <mergeCell ref="J16:K16"/>
    <mergeCell ref="N24:S24"/>
    <mergeCell ref="N2:S2"/>
    <mergeCell ref="E9:H9"/>
    <mergeCell ref="E10:H10"/>
    <mergeCell ref="E11:H11"/>
    <mergeCell ref="E12:H12"/>
    <mergeCell ref="E13:H13"/>
    <mergeCell ref="E14:H14"/>
    <mergeCell ref="B7:D7"/>
    <mergeCell ref="B2:D2"/>
    <mergeCell ref="B3:D3"/>
    <mergeCell ref="B4:D4"/>
    <mergeCell ref="B5:D5"/>
    <mergeCell ref="B6:D6"/>
  </mergeCells>
  <dataValidations count="9">
    <dataValidation type="list" allowBlank="1" showInputMessage="1" showErrorMessage="1" sqref="C17:C21 C24:C28" xr:uid="{07847F3D-20FC-4525-A2D5-118F8C944D48}">
      <formula1>DefineMilheiro</formula1>
    </dataValidation>
    <dataValidation type="list" allowBlank="1" showInputMessage="1" showErrorMessage="1" sqref="B10:B14" xr:uid="{F96ED766-88A1-4D5B-A1E3-F083DA0DF1A6}">
      <formula1>Formato</formula1>
    </dataValidation>
    <dataValidation type="list" allowBlank="1" showInputMessage="1" showErrorMessage="1" sqref="E17:E35" xr:uid="{D7C8A032-B738-4C20-91A6-C3D785D9FD25}">
      <formula1>DefineExtra</formula1>
    </dataValidation>
    <dataValidation type="list" allowBlank="1" showInputMessage="1" showErrorMessage="1" sqref="E10:E14" xr:uid="{AE55AC01-FF77-45E1-ADDC-D5A7BE17A791}">
      <formula1>DefineAcabamento</formula1>
    </dataValidation>
    <dataValidation type="list" allowBlank="1" showInputMessage="1" showErrorMessage="1" sqref="B24:B28" xr:uid="{C78186BA-CC6C-4708-9036-7E500255492B}">
      <formula1>SegundoEquipamento</formula1>
    </dataValidation>
    <dataValidation type="list" allowBlank="1" showInputMessage="1" showErrorMessage="1" sqref="B17:B21" xr:uid="{8AC740F6-319C-41E2-BAE4-B1230CDB623D}">
      <formula1>PrimeiroEquipamento</formula1>
    </dataValidation>
    <dataValidation type="list" allowBlank="1" showInputMessage="1" showErrorMessage="1" sqref="B3:B7" xr:uid="{AC617513-F736-40E5-BF64-BBE9EE8067FB}">
      <formula1>PapelTipo</formula1>
    </dataValidation>
    <dataValidation type="list" allowBlank="1" showInputMessage="1" showErrorMessage="1" sqref="L29" xr:uid="{1AEEA686-7F32-4BA7-8CD4-99D6BBBE6B07}">
      <formula1>$N$3:$N$12</formula1>
    </dataValidation>
    <dataValidation type="list" allowBlank="1" showInputMessage="1" showErrorMessage="1" sqref="O27:O35" xr:uid="{6AF4C238-34C7-4C42-ADB9-BB139C649DBB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9E38-3A19-408A-9A7F-3BE79211FD01}">
  <sheetPr codeName="Planilha3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3" t="s">
        <v>3</v>
      </c>
      <c r="C2" s="103"/>
      <c r="D2" s="10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4" t="s">
        <v>22</v>
      </c>
      <c r="O2" s="104"/>
      <c r="P2" s="104"/>
      <c r="Q2" s="104"/>
      <c r="R2" s="104"/>
      <c r="S2" s="104"/>
      <c r="U2" t="s">
        <v>24</v>
      </c>
    </row>
    <row r="3" spans="2:23" x14ac:dyDescent="0.25">
      <c r="B3" s="100" t="str">
        <f>IF('Tiragem - 1'!B3=0,"",'Tiragem - 1'!B3)</f>
        <v/>
      </c>
      <c r="C3" s="101"/>
      <c r="D3" s="10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0" t="str">
        <f>IF('Tiragem - 1'!B4=0,"",'Tiragem - 1'!B4)</f>
        <v/>
      </c>
      <c r="C4" s="101"/>
      <c r="D4" s="10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0" t="str">
        <f>IF('Tiragem - 1'!B5=0,"",'Tiragem - 1'!B5)</f>
        <v/>
      </c>
      <c r="C5" s="101"/>
      <c r="D5" s="10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*1000 unidades / R$ 0,00 a unidade*</v>
      </c>
    </row>
    <row r="6" spans="2:23" x14ac:dyDescent="0.25">
      <c r="B6" s="100" t="str">
        <f>IF('Tiragem - 1'!B6=0,"",'Tiragem - 1'!B6)</f>
        <v/>
      </c>
      <c r="C6" s="101"/>
      <c r="D6" s="10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0" t="str">
        <f>IF('Tiragem - 1'!B7=0,"",'Tiragem - 1'!B7)</f>
        <v/>
      </c>
      <c r="C7" s="101"/>
      <c r="D7" s="10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9" t="s">
        <v>2</v>
      </c>
      <c r="F9" s="109"/>
      <c r="G9" s="109"/>
      <c r="H9" s="10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6" t="str">
        <f>IF('Tiragem - 1'!E10=0,"",'Tiragem - 1'!E10)</f>
        <v/>
      </c>
      <c r="F10" s="107"/>
      <c r="G10" s="107"/>
      <c r="H10" s="10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6" t="str">
        <f>IF('Tiragem - 1'!E11=0,"",'Tiragem - 1'!E11)</f>
        <v/>
      </c>
      <c r="F11" s="107"/>
      <c r="G11" s="107"/>
      <c r="H11" s="10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6" t="str">
        <f>IF('Tiragem - 1'!E12=0,"",'Tiragem - 1'!E12)</f>
        <v/>
      </c>
      <c r="F12" s="107"/>
      <c r="G12" s="107"/>
      <c r="H12" s="10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*1000 unidades / R$ 0,00 a unidade*</v>
      </c>
    </row>
    <row r="13" spans="2:23" x14ac:dyDescent="0.25">
      <c r="B13" s="5" t="str">
        <f>IF('Tiragem - 1'!B13=0,"",'Tiragem - 1'!B13)</f>
        <v/>
      </c>
      <c r="C13" s="33"/>
      <c r="E13" s="106" t="str">
        <f>IF('Tiragem - 1'!E13=0,"",'Tiragem - 1'!E13)</f>
        <v/>
      </c>
      <c r="F13" s="107"/>
      <c r="G13" s="107"/>
      <c r="H13" s="10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6" t="str">
        <f>IF('Tiragem - 1'!E14=0,"",'Tiragem - 1'!E14)</f>
        <v/>
      </c>
      <c r="F14" s="107"/>
      <c r="G14" s="107"/>
      <c r="H14" s="10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5" t="s">
        <v>15</v>
      </c>
      <c r="K16" s="105"/>
      <c r="L16" s="37">
        <v>1000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1000 unidades / 10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1000 unidades / 10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4" t="s">
        <v>23</v>
      </c>
      <c r="O24" s="104"/>
      <c r="P24" s="104"/>
      <c r="Q24" s="104"/>
      <c r="R24" s="104"/>
      <c r="S24" s="104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IF(Tabela33[[#This Row],[Clichê]]="","",_xlfn.XLOOKUP(Tabela33[[#This Row],[Clichê]],[1]!HotStamping[ID],[1]!HotStamping[Valor Clichê],"Valor Não Encontrado",0,1))</f>
        <v/>
      </c>
      <c r="Q27" s="67"/>
      <c r="R27" s="68" t="str" cm="1">
        <f t="array" ref="R27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7" s="67" t="str" cm="1">
        <f t="array" ref="S27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IF(Tabela33[[#This Row],[Clichê]]="","",_xlfn.XLOOKUP(Tabela33[[#This Row],[Clichê]],[1]!HotStamping[ID],[1]!HotStamping[Valor Clichê],"Valor Não Encontrado",0,1))</f>
        <v/>
      </c>
      <c r="Q28" s="67"/>
      <c r="R28" s="68" t="str" cm="1">
        <f t="array" ref="R28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8" s="67" t="str" cm="1">
        <f t="array" ref="S28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IF(Tabela33[[#This Row],[Clichê]]="","",_xlfn.XLOOKUP(Tabela33[[#This Row],[Clichê]],[1]!HotStamping[ID],[1]!HotStamping[Valor Clichê],"Valor Não Encontrado",0,1))</f>
        <v/>
      </c>
      <c r="Q29" s="67"/>
      <c r="R29" s="68" t="str" cm="1">
        <f t="array" ref="R29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9" s="67" t="str" cm="1">
        <f t="array" ref="S29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IF(Tabela33[[#This Row],[Clichê]]="","",_xlfn.XLOOKUP(Tabela33[[#This Row],[Clichê]],[1]!HotStamping[ID],[1]!HotStamping[Valor Clichê],"Valor Não Encontrado",0,1))</f>
        <v/>
      </c>
      <c r="Q30" s="67"/>
      <c r="R30" s="68" t="str" cm="1">
        <f t="array" ref="R30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0" s="67" t="str" cm="1">
        <f t="array" ref="S30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IF(Tabela33[[#This Row],[Clichê]]="","",_xlfn.XLOOKUP(Tabela33[[#This Row],[Clichê]],[1]!HotStamping[ID],[1]!HotStamping[Valor Clichê],"Valor Não Encontrado",0,1))</f>
        <v/>
      </c>
      <c r="Q31" s="67"/>
      <c r="R31" s="68" t="str" cm="1">
        <f t="array" ref="R3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1" s="67" t="str" cm="1">
        <f t="array" ref="S3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IF(Tabela33[[#This Row],[Clichê]]="","",_xlfn.XLOOKUP(Tabela33[[#This Row],[Clichê]],[1]!HotStamping[ID],[1]!HotStamping[Valor Clichê],"Valor Não Encontrado",0,1))</f>
        <v/>
      </c>
      <c r="Q32" s="67"/>
      <c r="R32" s="68" t="str" cm="1">
        <f t="array" ref="R32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2" s="67" t="str" cm="1">
        <f t="array" ref="S32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IF(Tabela33[[#This Row],[Clichê]]="","",_xlfn.XLOOKUP(Tabela33[[#This Row],[Clichê]],[1]!HotStamping[ID],[1]!HotStamping[Valor Clichê],"Valor Não Encontrado",0,1))</f>
        <v/>
      </c>
      <c r="Q33" s="67"/>
      <c r="R33" s="68" t="str" cm="1">
        <f t="array" ref="R33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3" s="67" t="str" cm="1">
        <f t="array" ref="S33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IF(Tabela33[[#This Row],[Clichê]]="","",_xlfn.XLOOKUP(Tabela33[[#This Row],[Clichê]],[1]!HotStamping[ID],[1]!HotStamping[Valor Clichê],"Valor Não Encontrado",0,1))</f>
        <v/>
      </c>
      <c r="Q34" s="67"/>
      <c r="R34" s="68" t="str" cm="1">
        <f t="array" ref="R34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4" s="67" t="str" cm="1">
        <f t="array" ref="S34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IF(Tabela33[[#This Row],[Clichê]]="","",_xlfn.XLOOKUP(Tabela33[[#This Row],[Clichê]],[1]!HotStamping[ID],[1]!HotStamping[Valor Clichê],"Valor Não Encontrado",0,1))</f>
        <v/>
      </c>
      <c r="Q35" s="67"/>
      <c r="R35" s="68" t="str" cm="1">
        <f t="array" ref="R35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5" s="67" t="str" cm="1">
        <f t="array" ref="S35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</sheetData>
  <mergeCells count="15">
    <mergeCell ref="J16:K16"/>
    <mergeCell ref="N24:S24"/>
    <mergeCell ref="N2:S2"/>
    <mergeCell ref="E9:H9"/>
    <mergeCell ref="E10:H10"/>
    <mergeCell ref="E11:H11"/>
    <mergeCell ref="E12:H12"/>
    <mergeCell ref="E13:H13"/>
    <mergeCell ref="E14:H14"/>
    <mergeCell ref="B7:D7"/>
    <mergeCell ref="B2:D2"/>
    <mergeCell ref="B3:D3"/>
    <mergeCell ref="B4:D4"/>
    <mergeCell ref="B5:D5"/>
    <mergeCell ref="B6:D6"/>
  </mergeCells>
  <dataValidations count="9">
    <dataValidation type="list" allowBlank="1" showInputMessage="1" showErrorMessage="1" sqref="C17:C21 C24:C28" xr:uid="{90E812AB-A32C-4F0D-90EF-C322998E8F3B}">
      <formula1>DefineMilheiro</formula1>
    </dataValidation>
    <dataValidation type="list" allowBlank="1" showInputMessage="1" showErrorMessage="1" sqref="B10:B14" xr:uid="{7C618F8D-A0C5-4A51-A03E-A42EFE4C7A56}">
      <formula1>Formato</formula1>
    </dataValidation>
    <dataValidation type="list" allowBlank="1" showInputMessage="1" showErrorMessage="1" sqref="E17:E35" xr:uid="{959388AE-921A-4605-83C1-8C0242B7073E}">
      <formula1>DefineExtra</formula1>
    </dataValidation>
    <dataValidation type="list" allowBlank="1" showInputMessage="1" showErrorMessage="1" sqref="E10:E14" xr:uid="{485A74F3-5049-4E8A-955B-6080A24CA686}">
      <formula1>DefineAcabamento</formula1>
    </dataValidation>
    <dataValidation type="list" allowBlank="1" showInputMessage="1" showErrorMessage="1" sqref="B24:B28" xr:uid="{D9AA62CF-F5B4-4492-ACB8-D5BC615D7AD4}">
      <formula1>SegundoEquipamento</formula1>
    </dataValidation>
    <dataValidation type="list" allowBlank="1" showInputMessage="1" showErrorMessage="1" sqref="B17:B21" xr:uid="{01C69BCF-CC61-4978-B0B2-61415B5E02DB}">
      <formula1>PrimeiroEquipamento</formula1>
    </dataValidation>
    <dataValidation type="list" allowBlank="1" showInputMessage="1" showErrorMessage="1" sqref="B3:B7" xr:uid="{31E3C62B-3527-49A7-A6ED-8B0C53C5ACFB}">
      <formula1>PapelTipo</formula1>
    </dataValidation>
    <dataValidation type="list" allowBlank="1" showInputMessage="1" showErrorMessage="1" sqref="L29" xr:uid="{C99429BE-9BE3-4322-9C06-88CA424A9EB3}">
      <formula1>$N$3:$N$12</formula1>
    </dataValidation>
    <dataValidation type="list" allowBlank="1" showInputMessage="1" showErrorMessage="1" sqref="O27:O35" xr:uid="{D193682E-813A-4871-AF1D-3EB99F035BCD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68B5-E917-426A-9F27-A200FCA4F31F}">
  <sheetPr codeName="Planilha6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3" t="s">
        <v>3</v>
      </c>
      <c r="C2" s="103"/>
      <c r="D2" s="10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4" t="s">
        <v>22</v>
      </c>
      <c r="O2" s="104"/>
      <c r="P2" s="104"/>
      <c r="Q2" s="104"/>
      <c r="R2" s="104"/>
      <c r="S2" s="104"/>
      <c r="U2" t="s">
        <v>24</v>
      </c>
    </row>
    <row r="3" spans="2:23" x14ac:dyDescent="0.25">
      <c r="B3" s="100" t="str">
        <f>IF('Tiragem - 1'!B3=0,"",'Tiragem - 1'!B3)</f>
        <v/>
      </c>
      <c r="C3" s="101"/>
      <c r="D3" s="10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0" t="str">
        <f>IF('Tiragem - 1'!B4=0,"",'Tiragem - 1'!B4)</f>
        <v/>
      </c>
      <c r="C4" s="101"/>
      <c r="D4" s="10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0" t="str">
        <f>IF('Tiragem - 1'!B5=0,"",'Tiragem - 1'!B5)</f>
        <v/>
      </c>
      <c r="C5" s="101"/>
      <c r="D5" s="10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*2000 unidades / R$ 0,00 a unidade*</v>
      </c>
    </row>
    <row r="6" spans="2:23" x14ac:dyDescent="0.25">
      <c r="B6" s="100" t="str">
        <f>IF('Tiragem - 1'!B6=0,"",'Tiragem - 1'!B6)</f>
        <v/>
      </c>
      <c r="C6" s="101"/>
      <c r="D6" s="10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0" t="str">
        <f>IF('Tiragem - 1'!B7=0,"",'Tiragem - 1'!B7)</f>
        <v/>
      </c>
      <c r="C7" s="101"/>
      <c r="D7" s="10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9" t="s">
        <v>2</v>
      </c>
      <c r="F9" s="109"/>
      <c r="G9" s="109"/>
      <c r="H9" s="10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6" t="str">
        <f>IF('Tiragem - 1'!E10=0,"",'Tiragem - 1'!E10)</f>
        <v/>
      </c>
      <c r="F10" s="107"/>
      <c r="G10" s="107"/>
      <c r="H10" s="10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6" t="str">
        <f>IF('Tiragem - 1'!E11=0,"",'Tiragem - 1'!E11)</f>
        <v/>
      </c>
      <c r="F11" s="107"/>
      <c r="G11" s="107"/>
      <c r="H11" s="10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6" t="str">
        <f>IF('Tiragem - 1'!E12=0,"",'Tiragem - 1'!E12)</f>
        <v/>
      </c>
      <c r="F12" s="107"/>
      <c r="G12" s="107"/>
      <c r="H12" s="10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*2000 unidades / R$ 0,00 a unidade*</v>
      </c>
    </row>
    <row r="13" spans="2:23" x14ac:dyDescent="0.25">
      <c r="B13" s="5" t="str">
        <f>IF('Tiragem - 1'!B13=0,"",'Tiragem - 1'!B13)</f>
        <v/>
      </c>
      <c r="C13" s="33"/>
      <c r="E13" s="106" t="str">
        <f>IF('Tiragem - 1'!E13=0,"",'Tiragem - 1'!E13)</f>
        <v/>
      </c>
      <c r="F13" s="107"/>
      <c r="G13" s="107"/>
      <c r="H13" s="10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6" t="str">
        <f>IF('Tiragem - 1'!E14=0,"",'Tiragem - 1'!E14)</f>
        <v/>
      </c>
      <c r="F14" s="107"/>
      <c r="G14" s="107"/>
      <c r="H14" s="10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5" t="s">
        <v>15</v>
      </c>
      <c r="K16" s="105"/>
      <c r="L16" s="37">
        <v>2000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2000 unidades / 20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2000 unidades / 20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4" t="s">
        <v>23</v>
      </c>
      <c r="O24" s="104"/>
      <c r="P24" s="104"/>
      <c r="Q24" s="104"/>
      <c r="R24" s="104"/>
      <c r="S24" s="104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IF(Tabela339[[#This Row],[Clichê]]="","",_xlfn.XLOOKUP(Tabela339[[#This Row],[Clichê]],[1]!HotStamping[ID],[1]!HotStamping[Valor Clichê],"Valor Não Encontrado",0,1))</f>
        <v/>
      </c>
      <c r="Q27" s="67"/>
      <c r="R27" s="68" t="str" cm="1">
        <f t="array" ref="R27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7" s="67" t="str" cm="1">
        <f t="array" ref="S27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IF(Tabela339[[#This Row],[Clichê]]="","",_xlfn.XLOOKUP(Tabela339[[#This Row],[Clichê]],[1]!HotStamping[ID],[1]!HotStamping[Valor Clichê],"Valor Não Encontrado",0,1))</f>
        <v/>
      </c>
      <c r="Q28" s="67"/>
      <c r="R28" s="68" t="str" cm="1">
        <f t="array" ref="R28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8" s="67" t="str" cm="1">
        <f t="array" ref="S28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IF(Tabela339[[#This Row],[Clichê]]="","",_xlfn.XLOOKUP(Tabela339[[#This Row],[Clichê]],[1]!HotStamping[ID],[1]!HotStamping[Valor Clichê],"Valor Não Encontrado",0,1))</f>
        <v/>
      </c>
      <c r="Q29" s="67"/>
      <c r="R29" s="68" t="str" cm="1">
        <f t="array" ref="R29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9" s="67" t="str" cm="1">
        <f t="array" ref="S29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IF(Tabela339[[#This Row],[Clichê]]="","",_xlfn.XLOOKUP(Tabela339[[#This Row],[Clichê]],[1]!HotStamping[ID],[1]!HotStamping[Valor Clichê],"Valor Não Encontrado",0,1))</f>
        <v/>
      </c>
      <c r="Q30" s="67"/>
      <c r="R30" s="68" t="str" cm="1">
        <f t="array" ref="R30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0" s="67" t="str" cm="1">
        <f t="array" ref="S30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IF(Tabela339[[#This Row],[Clichê]]="","",_xlfn.XLOOKUP(Tabela339[[#This Row],[Clichê]],[1]!HotStamping[ID],[1]!HotStamping[Valor Clichê],"Valor Não Encontrado",0,1))</f>
        <v/>
      </c>
      <c r="Q31" s="67"/>
      <c r="R31" s="68" t="str" cm="1">
        <f t="array" ref="R3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1" s="67" t="str" cm="1">
        <f t="array" ref="S3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IF(Tabela339[[#This Row],[Clichê]]="","",_xlfn.XLOOKUP(Tabela339[[#This Row],[Clichê]],[1]!HotStamping[ID],[1]!HotStamping[Valor Clichê],"Valor Não Encontrado",0,1))</f>
        <v/>
      </c>
      <c r="Q32" s="67"/>
      <c r="R32" s="68" t="str" cm="1">
        <f t="array" ref="R32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2" s="67" t="str" cm="1">
        <f t="array" ref="S32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IF(Tabela339[[#This Row],[Clichê]]="","",_xlfn.XLOOKUP(Tabela339[[#This Row],[Clichê]],[1]!HotStamping[ID],[1]!HotStamping[Valor Clichê],"Valor Não Encontrado",0,1))</f>
        <v/>
      </c>
      <c r="Q33" s="67"/>
      <c r="R33" s="68" t="str" cm="1">
        <f t="array" ref="R33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3" s="67" t="str" cm="1">
        <f t="array" ref="S33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IF(Tabela339[[#This Row],[Clichê]]="","",_xlfn.XLOOKUP(Tabela339[[#This Row],[Clichê]],[1]!HotStamping[ID],[1]!HotStamping[Valor Clichê],"Valor Não Encontrado",0,1))</f>
        <v/>
      </c>
      <c r="Q34" s="67"/>
      <c r="R34" s="68" t="str" cm="1">
        <f t="array" ref="R34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4" s="67" t="str" cm="1">
        <f t="array" ref="S34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IF(Tabela339[[#This Row],[Clichê]]="","",_xlfn.XLOOKUP(Tabela339[[#This Row],[Clichê]],[1]!HotStamping[ID],[1]!HotStamping[Valor Clichê],"Valor Não Encontrado",0,1))</f>
        <v/>
      </c>
      <c r="Q35" s="67"/>
      <c r="R35" s="68" t="str" cm="1">
        <f t="array" ref="R35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5" s="67" t="str" cm="1">
        <f t="array" ref="S35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</sheetData>
  <mergeCells count="15">
    <mergeCell ref="E14:H14"/>
    <mergeCell ref="J16:K16"/>
    <mergeCell ref="N24:S24"/>
    <mergeCell ref="B7:D7"/>
    <mergeCell ref="E9:H9"/>
    <mergeCell ref="E10:H10"/>
    <mergeCell ref="E11:H11"/>
    <mergeCell ref="E12:H12"/>
    <mergeCell ref="E13:H13"/>
    <mergeCell ref="B6:D6"/>
    <mergeCell ref="B2:D2"/>
    <mergeCell ref="N2:S2"/>
    <mergeCell ref="B3:D3"/>
    <mergeCell ref="B4:D4"/>
    <mergeCell ref="B5:D5"/>
  </mergeCells>
  <dataValidations count="9">
    <dataValidation type="list" allowBlank="1" showInputMessage="1" showErrorMessage="1" sqref="O27:O35" xr:uid="{B0ED5286-BF2F-45C0-B16F-09AF5FD180FA}">
      <formula1>Clichê</formula1>
    </dataValidation>
    <dataValidation type="list" allowBlank="1" showInputMessage="1" showErrorMessage="1" sqref="L29" xr:uid="{7101E367-93E7-475C-8EC7-794368362330}">
      <formula1>$N$3:$N$12</formula1>
    </dataValidation>
    <dataValidation type="list" allowBlank="1" showInputMessage="1" showErrorMessage="1" sqref="B3:B7" xr:uid="{9F81A27C-F3A4-4A59-8907-E7190040A469}">
      <formula1>PapelTipo</formula1>
    </dataValidation>
    <dataValidation type="list" allowBlank="1" showInputMessage="1" showErrorMessage="1" sqref="B17:B21" xr:uid="{E0B1E482-2E35-4A98-9E04-161B2F18DF17}">
      <formula1>PrimeiroEquipamento</formula1>
    </dataValidation>
    <dataValidation type="list" allowBlank="1" showInputMessage="1" showErrorMessage="1" sqref="B24:B28" xr:uid="{B65A9B90-0F6A-4CB7-BECF-5F9501A55CE6}">
      <formula1>SegundoEquipamento</formula1>
    </dataValidation>
    <dataValidation type="list" allowBlank="1" showInputMessage="1" showErrorMessage="1" sqref="E10:E14" xr:uid="{70D42C39-3EE2-4254-AB59-688F34451F31}">
      <formula1>DefineAcabamento</formula1>
    </dataValidation>
    <dataValidation type="list" allowBlank="1" showInputMessage="1" showErrorMessage="1" sqref="E17:E35" xr:uid="{9B2FF9E4-FFE7-4513-99A5-68B81231E2A5}">
      <formula1>DefineExtra</formula1>
    </dataValidation>
    <dataValidation type="list" allowBlank="1" showInputMessage="1" showErrorMessage="1" sqref="B10:B14" xr:uid="{9C721F3E-7F6B-4156-BFEC-37C28C87D501}">
      <formula1>Formato</formula1>
    </dataValidation>
    <dataValidation type="list" allowBlank="1" showInputMessage="1" showErrorMessage="1" sqref="C17:C21 C24:C28" xr:uid="{280F4BF0-DF1D-4B04-8C91-8A91E5A7C7A4}">
      <formula1>DefineMilheiro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82FA-8FFC-4D52-9F31-038BDD29A2A1}">
  <sheetPr codeName="Planilha4"/>
  <dimension ref="A2:Z49"/>
  <sheetViews>
    <sheetView tabSelected="1" zoomScaleNormal="100" workbookViewId="0">
      <selection activeCell="S22" sqref="S22"/>
    </sheetView>
  </sheetViews>
  <sheetFormatPr defaultRowHeight="15" x14ac:dyDescent="0.25"/>
  <cols>
    <col min="1" max="2" width="2.85546875" customWidth="1"/>
    <col min="3" max="3" width="9.140625" customWidth="1"/>
    <col min="4" max="4" width="10.7109375" customWidth="1"/>
    <col min="5" max="5" width="2.140625" customWidth="1"/>
    <col min="7" max="8" width="9.140625" customWidth="1"/>
    <col min="9" max="11" width="2.85546875" customWidth="1"/>
    <col min="12" max="15" width="14.28515625" customWidth="1"/>
    <col min="16" max="18" width="2.85546875" customWidth="1"/>
    <col min="19" max="19" width="62.140625" customWidth="1"/>
    <col min="20" max="22" width="2.85546875" customWidth="1"/>
    <col min="23" max="23" width="9.140625" customWidth="1"/>
    <col min="25" max="25" width="9.140625" customWidth="1"/>
    <col min="27" max="16383" width="9.140625" style="71"/>
    <col min="16384" max="16384" width="2.85546875" style="71" customWidth="1"/>
  </cols>
  <sheetData>
    <row r="2" spans="1:26" s="72" customFormat="1" ht="26.25" customHeight="1" x14ac:dyDescent="0.25">
      <c r="A2"/>
      <c r="B2" s="111" t="s">
        <v>81</v>
      </c>
      <c r="C2" s="112"/>
      <c r="D2" s="112"/>
      <c r="E2" s="112"/>
      <c r="F2" s="112"/>
      <c r="G2" s="112"/>
      <c r="H2" s="112"/>
      <c r="I2" s="113"/>
      <c r="J2"/>
      <c r="K2" s="111" t="s">
        <v>61</v>
      </c>
      <c r="L2" s="112"/>
      <c r="M2" s="112"/>
      <c r="N2" s="112"/>
      <c r="O2" s="112"/>
      <c r="P2" s="113"/>
      <c r="Q2"/>
      <c r="R2" s="111" t="s">
        <v>13</v>
      </c>
      <c r="S2" s="112"/>
      <c r="T2" s="113"/>
      <c r="U2"/>
      <c r="V2"/>
      <c r="W2"/>
      <c r="X2"/>
      <c r="Y2"/>
      <c r="Z2"/>
    </row>
    <row r="3" spans="1:26" ht="15" customHeight="1" x14ac:dyDescent="0.25">
      <c r="B3" s="92"/>
      <c r="C3" s="139"/>
      <c r="D3" s="139"/>
      <c r="E3" s="139"/>
      <c r="F3" s="139"/>
      <c r="G3" s="139"/>
      <c r="H3" s="139"/>
      <c r="I3" s="94"/>
      <c r="K3" s="92"/>
      <c r="L3" s="139"/>
      <c r="M3" s="139"/>
      <c r="N3" s="139"/>
      <c r="O3" s="139"/>
      <c r="P3" s="94"/>
      <c r="R3" s="92"/>
      <c r="S3" s="139"/>
      <c r="T3" s="94"/>
    </row>
    <row r="4" spans="1:26" x14ac:dyDescent="0.25">
      <c r="B4" s="92"/>
      <c r="C4" s="110" t="s">
        <v>82</v>
      </c>
      <c r="D4" s="110"/>
      <c r="E4" s="136"/>
      <c r="F4" s="136"/>
      <c r="G4" s="136"/>
      <c r="H4" s="136"/>
      <c r="I4" s="94"/>
      <c r="K4" s="92"/>
      <c r="L4" s="110" t="s">
        <v>58</v>
      </c>
      <c r="M4" s="110"/>
      <c r="N4" s="110"/>
      <c r="O4" s="110"/>
      <c r="P4" s="94"/>
      <c r="R4" s="92"/>
      <c r="S4" s="139" t="str">
        <f>IFERROR(IF(L5="","Nome do Material",L5),"")</f>
        <v>Nome do Material</v>
      </c>
      <c r="T4" s="94"/>
    </row>
    <row r="5" spans="1:26" ht="14.25" customHeight="1" x14ac:dyDescent="0.25">
      <c r="B5" s="92"/>
      <c r="C5" s="139"/>
      <c r="D5" s="139"/>
      <c r="E5" s="139"/>
      <c r="F5" s="139"/>
      <c r="G5" s="139"/>
      <c r="H5" s="139"/>
      <c r="I5" s="94"/>
      <c r="K5" s="92"/>
      <c r="L5" s="136"/>
      <c r="M5" s="136"/>
      <c r="N5" s="136"/>
      <c r="O5" s="136"/>
      <c r="P5" s="94"/>
      <c r="R5" s="92"/>
      <c r="S5" s="139" t="str">
        <f>CONCATENATE("Tamanho: ",O10)</f>
        <v xml:space="preserve">Tamanho: </v>
      </c>
      <c r="T5" s="94"/>
    </row>
    <row r="6" spans="1:26" x14ac:dyDescent="0.25">
      <c r="B6" s="92"/>
      <c r="C6" s="110" t="s">
        <v>83</v>
      </c>
      <c r="D6" s="110"/>
      <c r="E6" s="110"/>
      <c r="F6" s="110"/>
      <c r="G6" s="110"/>
      <c r="H6" s="110"/>
      <c r="I6" s="94"/>
      <c r="K6" s="92"/>
      <c r="L6" s="139"/>
      <c r="M6" s="139"/>
      <c r="N6" s="139"/>
      <c r="O6" s="139"/>
      <c r="P6" s="94"/>
      <c r="R6" s="92"/>
      <c r="S6" s="139" t="str">
        <f>CONCATENATE("Largura: ",L10,"cm")</f>
        <v>Largura: cm</v>
      </c>
      <c r="T6" s="94"/>
    </row>
    <row r="7" spans="1:26" x14ac:dyDescent="0.25">
      <c r="B7" s="92"/>
      <c r="C7" s="136"/>
      <c r="D7" s="136"/>
      <c r="E7" s="136"/>
      <c r="F7" s="136"/>
      <c r="G7" s="136"/>
      <c r="H7" s="136"/>
      <c r="I7" s="94"/>
      <c r="K7" s="92"/>
      <c r="L7" s="99" t="s">
        <v>57</v>
      </c>
      <c r="M7" s="136" t="str">
        <f>Dados!$BB$35</f>
        <v>Inválido</v>
      </c>
      <c r="N7" s="136"/>
      <c r="O7" s="136"/>
      <c r="P7" s="94"/>
      <c r="R7" s="92"/>
      <c r="S7" s="139" t="str">
        <f>CONCATENATE("Profundidade: ",M10,"cm")</f>
        <v>Profundidade: cm</v>
      </c>
      <c r="T7" s="94"/>
    </row>
    <row r="8" spans="1:26" x14ac:dyDescent="0.25">
      <c r="B8" s="92"/>
      <c r="C8" s="139"/>
      <c r="D8" s="139"/>
      <c r="E8" s="139"/>
      <c r="F8" s="139"/>
      <c r="G8" s="139"/>
      <c r="H8" s="139"/>
      <c r="I8" s="94"/>
      <c r="K8" s="92"/>
      <c r="L8" s="139"/>
      <c r="M8" s="139"/>
      <c r="N8" s="139"/>
      <c r="O8" s="139"/>
      <c r="P8" s="94"/>
      <c r="R8" s="92"/>
      <c r="S8" s="139" t="str">
        <f>CONCATENATE("Altura: ",N10,"cm")</f>
        <v>Altura: cm</v>
      </c>
      <c r="T8" s="94"/>
    </row>
    <row r="9" spans="1:26" x14ac:dyDescent="0.25">
      <c r="B9" s="92"/>
      <c r="C9" s="110" t="s">
        <v>84</v>
      </c>
      <c r="D9" s="110"/>
      <c r="E9" s="110"/>
      <c r="F9" s="110"/>
      <c r="G9" s="110"/>
      <c r="H9" s="110"/>
      <c r="I9" s="94"/>
      <c r="K9" s="92"/>
      <c r="L9" s="99" t="s">
        <v>63</v>
      </c>
      <c r="M9" s="99" t="s">
        <v>111</v>
      </c>
      <c r="N9" s="99" t="s">
        <v>112</v>
      </c>
      <c r="O9" s="99" t="s">
        <v>88</v>
      </c>
      <c r="P9" s="94"/>
      <c r="R9" s="92"/>
      <c r="S9" s="139" t="str">
        <f>IF(M16=0,"Info Adicional",M16)</f>
        <v>Selecione</v>
      </c>
      <c r="T9" s="94"/>
    </row>
    <row r="10" spans="1:26" x14ac:dyDescent="0.25">
      <c r="B10" s="92"/>
      <c r="C10" s="136"/>
      <c r="D10" s="136"/>
      <c r="E10" s="136"/>
      <c r="F10" s="136"/>
      <c r="G10" s="136"/>
      <c r="H10" s="136"/>
      <c r="I10" s="94"/>
      <c r="K10" s="92"/>
      <c r="L10" s="137"/>
      <c r="M10" s="137"/>
      <c r="N10" s="137"/>
      <c r="O10" s="137" t="str">
        <f>IF(L10="","",IF(M10="",L10&amp;" cm",IF(N10="",L10&amp;"x"&amp;M10&amp;" cm",L10&amp;"x"&amp;M10&amp;"x"&amp;N10&amp;" cm")))</f>
        <v/>
      </c>
      <c r="P10" s="94"/>
      <c r="R10" s="92"/>
      <c r="S10" s="139" t="str">
        <f>"Papel: "&amp;M7</f>
        <v>Papel: Inválido</v>
      </c>
      <c r="T10" s="94"/>
    </row>
    <row r="11" spans="1:26" x14ac:dyDescent="0.25">
      <c r="B11" s="92"/>
      <c r="C11" s="139"/>
      <c r="D11" s="139"/>
      <c r="E11" s="139"/>
      <c r="F11" s="139"/>
      <c r="G11" s="139"/>
      <c r="H11" s="139"/>
      <c r="I11" s="94"/>
      <c r="K11" s="92"/>
      <c r="L11" s="139"/>
      <c r="M11" s="139"/>
      <c r="N11" s="139"/>
      <c r="O11" s="139"/>
      <c r="P11" s="94"/>
      <c r="R11" s="92"/>
      <c r="S11" s="139" t="str">
        <f>IF(M12="","Impressão: ",CONCATENATE("Impressão: ",IF(M12="Selecione","",IF(M12="1x0",M12&amp;" - Cor ("&amp;IF(N12="Selecione",")",IF(N12="Não se aplica",")",IF(N12="Manual",O12&amp;")",N12&amp;")"))),M12&amp;" - Cores (Colorido)")),IF(OR(M14="Selecione",M14="Não se aplica"),"",IF(M14="",""," - "&amp;M14))))</f>
        <v xml:space="preserve">Impressão: </v>
      </c>
      <c r="T11" s="94"/>
    </row>
    <row r="12" spans="1:26" x14ac:dyDescent="0.25">
      <c r="B12" s="92"/>
      <c r="C12" s="90" t="s">
        <v>85</v>
      </c>
      <c r="D12" s="136"/>
      <c r="E12" s="136"/>
      <c r="F12" s="136"/>
      <c r="G12" s="136"/>
      <c r="H12" s="136"/>
      <c r="I12" s="94"/>
      <c r="K12" s="92"/>
      <c r="L12" s="99" t="s">
        <v>64</v>
      </c>
      <c r="M12" s="137" t="s">
        <v>106</v>
      </c>
      <c r="N12" s="137" t="str">
        <f>IF(M12&lt;&gt;"1x0","Não se aplica","Selecione")</f>
        <v>Não se aplica</v>
      </c>
      <c r="O12" s="137" t="str">
        <f>IF(N12="Manual","Digite a cor","Não se aplica")</f>
        <v>Não se aplica</v>
      </c>
      <c r="P12" s="94"/>
      <c r="R12" s="92"/>
      <c r="S12" s="139" t="str">
        <f>IF(M18=0,"",M18)</f>
        <v>Acabamento / Complemento 1</v>
      </c>
      <c r="T12" s="94"/>
    </row>
    <row r="13" spans="1:26" x14ac:dyDescent="0.25">
      <c r="B13" s="92"/>
      <c r="C13" s="139"/>
      <c r="D13" s="139"/>
      <c r="E13" s="139"/>
      <c r="F13" s="139"/>
      <c r="G13" s="139"/>
      <c r="H13" s="139"/>
      <c r="I13" s="94"/>
      <c r="K13" s="92"/>
      <c r="L13" s="139"/>
      <c r="M13" s="139"/>
      <c r="N13" s="139"/>
      <c r="O13" s="139"/>
      <c r="P13" s="94"/>
      <c r="R13" s="92"/>
      <c r="S13" s="139" t="str">
        <f>IF(M20=0,"",M20)</f>
        <v>Acabamento / Complemento 2</v>
      </c>
      <c r="T13" s="94"/>
    </row>
    <row r="14" spans="1:26" x14ac:dyDescent="0.25">
      <c r="B14" s="92"/>
      <c r="C14" s="90" t="s">
        <v>86</v>
      </c>
      <c r="D14" s="136"/>
      <c r="E14" s="136"/>
      <c r="F14" s="136"/>
      <c r="G14" s="136"/>
      <c r="H14" s="136"/>
      <c r="I14" s="94"/>
      <c r="K14" s="92"/>
      <c r="L14" s="99" t="s">
        <v>74</v>
      </c>
      <c r="M14" s="136" t="s">
        <v>106</v>
      </c>
      <c r="N14" s="136"/>
      <c r="O14" s="136"/>
      <c r="P14" s="94"/>
      <c r="R14" s="92"/>
      <c r="S14" s="139" t="str">
        <f>IF(M22=0,"",M22)</f>
        <v>Acabamento / Complemento 3</v>
      </c>
      <c r="T14" s="94"/>
    </row>
    <row r="15" spans="1:26" x14ac:dyDescent="0.25">
      <c r="B15" s="92"/>
      <c r="C15" s="139"/>
      <c r="D15" s="139"/>
      <c r="E15" s="139"/>
      <c r="F15" s="139"/>
      <c r="G15" s="139"/>
      <c r="H15" s="139"/>
      <c r="I15" s="94"/>
      <c r="K15" s="92"/>
      <c r="L15" s="139"/>
      <c r="M15" s="139"/>
      <c r="N15" s="139"/>
      <c r="O15" s="139"/>
      <c r="P15" s="94"/>
      <c r="R15" s="92"/>
      <c r="S15" s="139" t="str">
        <f>IF(M24=0,"",M24)</f>
        <v>Acabamento / Complemento 4</v>
      </c>
      <c r="T15" s="94"/>
    </row>
    <row r="16" spans="1:26" x14ac:dyDescent="0.25">
      <c r="B16" s="92"/>
      <c r="C16" s="110" t="s">
        <v>107</v>
      </c>
      <c r="D16" s="110"/>
      <c r="E16" s="136"/>
      <c r="F16" s="136"/>
      <c r="G16" s="136"/>
      <c r="H16" s="136"/>
      <c r="I16" s="94"/>
      <c r="K16" s="92"/>
      <c r="L16" s="99" t="s">
        <v>113</v>
      </c>
      <c r="M16" s="137" t="s">
        <v>106</v>
      </c>
      <c r="N16" s="136" t="str">
        <f>IF(M16="Manual","Digite a especificação da alça","Não se aplica")</f>
        <v>Não se aplica</v>
      </c>
      <c r="O16" s="136"/>
      <c r="P16" s="94"/>
      <c r="R16" s="92"/>
      <c r="S16" s="139" t="str">
        <f>IF(M26=0,"",M26)</f>
        <v>Acabamento / Complemento 5</v>
      </c>
      <c r="T16" s="94"/>
    </row>
    <row r="17" spans="2:20" x14ac:dyDescent="0.25">
      <c r="B17" s="92"/>
      <c r="C17" s="139"/>
      <c r="D17" s="139"/>
      <c r="E17" s="139"/>
      <c r="F17" s="139"/>
      <c r="G17" s="139"/>
      <c r="H17" s="139"/>
      <c r="I17" s="94"/>
      <c r="K17" s="92"/>
      <c r="L17" s="139"/>
      <c r="M17" s="139"/>
      <c r="N17" s="139"/>
      <c r="O17" s="139"/>
      <c r="P17" s="94"/>
      <c r="R17" s="92"/>
      <c r="S17" s="139" t="str">
        <f>IF(M28=0,"",M28)</f>
        <v>Acabamento / Complemento 6</v>
      </c>
      <c r="T17" s="94"/>
    </row>
    <row r="18" spans="2:20" x14ac:dyDescent="0.25">
      <c r="B18" s="92"/>
      <c r="C18" s="110" t="s">
        <v>108</v>
      </c>
      <c r="D18" s="110"/>
      <c r="E18" s="136">
        <v>5</v>
      </c>
      <c r="F18" s="136"/>
      <c r="G18" s="136"/>
      <c r="H18" s="136"/>
      <c r="I18" s="94"/>
      <c r="K18" s="92"/>
      <c r="L18" s="99" t="s">
        <v>89</v>
      </c>
      <c r="M18" s="136" t="s">
        <v>90</v>
      </c>
      <c r="N18" s="136"/>
      <c r="O18" s="136"/>
      <c r="P18" s="94"/>
      <c r="R18" s="92"/>
      <c r="S18" s="139"/>
      <c r="T18" s="94"/>
    </row>
    <row r="19" spans="2:20" x14ac:dyDescent="0.25">
      <c r="B19" s="92"/>
      <c r="C19" s="139"/>
      <c r="D19" s="139"/>
      <c r="E19" s="139"/>
      <c r="F19" s="139"/>
      <c r="G19" s="139"/>
      <c r="H19" s="139"/>
      <c r="I19" s="94"/>
      <c r="K19" s="92"/>
      <c r="L19" s="139"/>
      <c r="M19" s="139"/>
      <c r="N19" s="139"/>
      <c r="O19" s="139"/>
      <c r="P19" s="94"/>
      <c r="R19" s="92"/>
      <c r="S19" s="139" t="s">
        <v>24</v>
      </c>
      <c r="T19" s="94"/>
    </row>
    <row r="20" spans="2:20" x14ac:dyDescent="0.25">
      <c r="B20" s="92"/>
      <c r="C20" s="110" t="s">
        <v>109</v>
      </c>
      <c r="D20" s="110"/>
      <c r="E20" s="110"/>
      <c r="F20" s="136" t="s">
        <v>87</v>
      </c>
      <c r="G20" s="136"/>
      <c r="H20" s="136"/>
      <c r="I20" s="94"/>
      <c r="K20" s="92"/>
      <c r="L20" s="99" t="s">
        <v>91</v>
      </c>
      <c r="M20" s="136" t="s">
        <v>92</v>
      </c>
      <c r="N20" s="136"/>
      <c r="O20" s="136"/>
      <c r="P20" s="94"/>
      <c r="R20" s="92"/>
      <c r="S20" s="139" t="s">
        <v>25</v>
      </c>
      <c r="T20" s="94"/>
    </row>
    <row r="21" spans="2:20" x14ac:dyDescent="0.25">
      <c r="B21" s="93"/>
      <c r="C21" s="91"/>
      <c r="D21" s="91"/>
      <c r="E21" s="91"/>
      <c r="F21" s="91"/>
      <c r="G21" s="91"/>
      <c r="H21" s="91"/>
      <c r="I21" s="95"/>
      <c r="K21" s="92"/>
      <c r="L21" s="139"/>
      <c r="M21" s="139"/>
      <c r="N21" s="139"/>
      <c r="O21" s="139"/>
      <c r="P21" s="94"/>
      <c r="R21" s="92"/>
      <c r="S21" s="139"/>
      <c r="T21" s="94"/>
    </row>
    <row r="22" spans="2:20" x14ac:dyDescent="0.25">
      <c r="K22" s="92"/>
      <c r="L22" s="99" t="s">
        <v>93</v>
      </c>
      <c r="M22" s="136" t="s">
        <v>94</v>
      </c>
      <c r="N22" s="136"/>
      <c r="O22" s="136"/>
      <c r="P22" s="94"/>
      <c r="R22" s="92"/>
      <c r="S22" s="139">
        <f>Dados!$N$6</f>
        <v>0</v>
      </c>
      <c r="T22" s="94"/>
    </row>
    <row r="23" spans="2:20" x14ac:dyDescent="0.25">
      <c r="K23" s="92"/>
      <c r="L23" s="139"/>
      <c r="M23" s="139"/>
      <c r="N23" s="139"/>
      <c r="O23" s="139"/>
      <c r="P23" s="94"/>
      <c r="R23" s="92"/>
      <c r="S23" s="139">
        <f>Dados!$N$7</f>
        <v>0</v>
      </c>
      <c r="T23" s="94"/>
    </row>
    <row r="24" spans="2:20" x14ac:dyDescent="0.25">
      <c r="K24" s="92"/>
      <c r="L24" s="99" t="s">
        <v>95</v>
      </c>
      <c r="M24" s="138" t="s">
        <v>96</v>
      </c>
      <c r="N24" s="138"/>
      <c r="O24" s="138"/>
      <c r="P24" s="94"/>
      <c r="R24" s="92"/>
      <c r="S24" s="139"/>
      <c r="T24" s="94"/>
    </row>
    <row r="25" spans="2:20" x14ac:dyDescent="0.25">
      <c r="K25" s="92"/>
      <c r="L25" s="139"/>
      <c r="M25" s="139"/>
      <c r="N25" s="139"/>
      <c r="O25" s="139"/>
      <c r="P25" s="94"/>
      <c r="R25" s="92"/>
      <c r="S25" s="139">
        <f>Dados!$N$9</f>
        <v>0</v>
      </c>
      <c r="T25" s="94"/>
    </row>
    <row r="26" spans="2:20" x14ac:dyDescent="0.25">
      <c r="K26" s="92"/>
      <c r="L26" s="99" t="s">
        <v>97</v>
      </c>
      <c r="M26" s="136" t="s">
        <v>98</v>
      </c>
      <c r="N26" s="136"/>
      <c r="O26" s="136"/>
      <c r="P26" s="94"/>
      <c r="R26" s="92"/>
      <c r="S26" s="139">
        <f>Dados!$N$10</f>
        <v>0</v>
      </c>
      <c r="T26" s="94"/>
    </row>
    <row r="27" spans="2:20" x14ac:dyDescent="0.25">
      <c r="K27" s="92"/>
      <c r="L27" s="139"/>
      <c r="M27" s="139"/>
      <c r="N27" s="139"/>
      <c r="O27" s="139"/>
      <c r="P27" s="94"/>
      <c r="R27" s="92"/>
      <c r="S27" s="139"/>
      <c r="T27" s="94"/>
    </row>
    <row r="28" spans="2:20" x14ac:dyDescent="0.25">
      <c r="K28" s="92"/>
      <c r="L28" s="99" t="s">
        <v>99</v>
      </c>
      <c r="M28" s="136" t="s">
        <v>100</v>
      </c>
      <c r="N28" s="136"/>
      <c r="O28" s="136"/>
      <c r="P28" s="94"/>
      <c r="R28" s="92"/>
      <c r="S28" s="139">
        <f>Dados!$N$12</f>
        <v>0</v>
      </c>
      <c r="T28" s="94"/>
    </row>
    <row r="29" spans="2:20" x14ac:dyDescent="0.25">
      <c r="K29" s="93"/>
      <c r="L29" s="91"/>
      <c r="M29" s="91"/>
      <c r="N29" s="91"/>
      <c r="O29" s="91"/>
      <c r="P29" s="95"/>
      <c r="R29" s="92"/>
      <c r="S29" s="139">
        <f>Dados!$N$13</f>
        <v>0</v>
      </c>
      <c r="T29" s="94"/>
    </row>
    <row r="30" spans="2:20" x14ac:dyDescent="0.25">
      <c r="R30" s="92"/>
      <c r="S30" s="139"/>
      <c r="T30" s="94"/>
    </row>
    <row r="31" spans="2:20" x14ac:dyDescent="0.25">
      <c r="R31" s="92"/>
      <c r="S31" s="139">
        <f>Dados!$N$15</f>
        <v>0</v>
      </c>
      <c r="T31" s="94"/>
    </row>
    <row r="32" spans="2:20" x14ac:dyDescent="0.25">
      <c r="R32" s="92"/>
      <c r="S32" s="139">
        <f>Dados!$N$16</f>
        <v>0</v>
      </c>
      <c r="T32" s="94"/>
    </row>
    <row r="33" spans="18:20" x14ac:dyDescent="0.25">
      <c r="R33" s="92"/>
      <c r="S33" s="139"/>
      <c r="T33" s="94"/>
    </row>
    <row r="34" spans="18:20" x14ac:dyDescent="0.25">
      <c r="R34" s="97"/>
      <c r="S34" s="96"/>
      <c r="T34" s="98"/>
    </row>
    <row r="35" spans="18:20" x14ac:dyDescent="0.25">
      <c r="R35" s="92"/>
      <c r="S35" s="139"/>
      <c r="T35" s="94"/>
    </row>
    <row r="36" spans="18:20" x14ac:dyDescent="0.25">
      <c r="R36" s="92"/>
      <c r="S36" s="139" t="s">
        <v>46</v>
      </c>
      <c r="T36" s="94"/>
    </row>
    <row r="37" spans="18:20" x14ac:dyDescent="0.25">
      <c r="R37" s="92"/>
      <c r="S37" s="139"/>
      <c r="T37" s="94"/>
    </row>
    <row r="38" spans="18:20" x14ac:dyDescent="0.25">
      <c r="R38" s="92"/>
      <c r="S38" s="139">
        <f>Dados!$N$21</f>
        <v>0</v>
      </c>
      <c r="T38" s="94"/>
    </row>
    <row r="39" spans="18:20" x14ac:dyDescent="0.25">
      <c r="R39" s="92"/>
      <c r="S39" s="139">
        <f>Dados!$N$22</f>
        <v>0</v>
      </c>
      <c r="T39" s="94"/>
    </row>
    <row r="40" spans="18:20" x14ac:dyDescent="0.25">
      <c r="R40" s="92"/>
      <c r="S40" s="139"/>
      <c r="T40" s="94"/>
    </row>
    <row r="41" spans="18:20" x14ac:dyDescent="0.25">
      <c r="R41" s="92"/>
      <c r="S41" s="139">
        <f>Dados!$N$24</f>
        <v>0</v>
      </c>
      <c r="T41" s="94"/>
    </row>
    <row r="42" spans="18:20" x14ac:dyDescent="0.25">
      <c r="R42" s="92"/>
      <c r="S42" s="139">
        <f>Dados!$N$25</f>
        <v>0</v>
      </c>
      <c r="T42" s="94"/>
    </row>
    <row r="43" spans="18:20" x14ac:dyDescent="0.25">
      <c r="R43" s="92"/>
      <c r="S43" s="139"/>
      <c r="T43" s="94"/>
    </row>
    <row r="44" spans="18:20" x14ac:dyDescent="0.25">
      <c r="R44" s="92"/>
      <c r="S44" s="139">
        <f>Dados!$N$27</f>
        <v>0</v>
      </c>
      <c r="T44" s="94"/>
    </row>
    <row r="45" spans="18:20" x14ac:dyDescent="0.25">
      <c r="R45" s="92"/>
      <c r="S45" s="139">
        <f>Dados!$N$28</f>
        <v>0</v>
      </c>
      <c r="T45" s="94"/>
    </row>
    <row r="46" spans="18:20" x14ac:dyDescent="0.25">
      <c r="R46" s="92"/>
      <c r="S46" s="139"/>
      <c r="T46" s="94"/>
    </row>
    <row r="47" spans="18:20" x14ac:dyDescent="0.25">
      <c r="R47" s="92"/>
      <c r="S47" s="139">
        <f>Dados!$N$30</f>
        <v>0</v>
      </c>
      <c r="T47" s="94"/>
    </row>
    <row r="48" spans="18:20" x14ac:dyDescent="0.25">
      <c r="R48" s="92"/>
      <c r="S48" s="139">
        <f>Dados!$N$31</f>
        <v>0</v>
      </c>
      <c r="T48" s="94"/>
    </row>
    <row r="49" spans="18:20" x14ac:dyDescent="0.25">
      <c r="R49" s="93"/>
      <c r="S49" s="91"/>
      <c r="T49" s="95"/>
    </row>
  </sheetData>
  <sheetProtection selectLockedCells="1"/>
  <mergeCells count="28">
    <mergeCell ref="C7:H7"/>
    <mergeCell ref="C9:H9"/>
    <mergeCell ref="C10:H10"/>
    <mergeCell ref="D12:H12"/>
    <mergeCell ref="D14:H14"/>
    <mergeCell ref="B2:I2"/>
    <mergeCell ref="C4:D4"/>
    <mergeCell ref="E4:H4"/>
    <mergeCell ref="C6:H6"/>
    <mergeCell ref="R2:T2"/>
    <mergeCell ref="K2:P2"/>
    <mergeCell ref="L4:O4"/>
    <mergeCell ref="L5:O5"/>
    <mergeCell ref="E16:H16"/>
    <mergeCell ref="C18:D18"/>
    <mergeCell ref="E18:H18"/>
    <mergeCell ref="C20:E20"/>
    <mergeCell ref="F20:H20"/>
    <mergeCell ref="C16:D16"/>
    <mergeCell ref="M22:O22"/>
    <mergeCell ref="M24:O24"/>
    <mergeCell ref="M26:O26"/>
    <mergeCell ref="M28:O28"/>
    <mergeCell ref="M7:O7"/>
    <mergeCell ref="M14:O14"/>
    <mergeCell ref="M18:O18"/>
    <mergeCell ref="M20:O20"/>
    <mergeCell ref="N16:O16"/>
  </mergeCells>
  <conditionalFormatting sqref="AA1:XEZ1048576">
    <cfRule type="containsText" dxfId="55" priority="41" operator="containsText" text="Inválido">
      <formula>NOT(ISERROR(SEARCH("Inválido",AA1)))</formula>
    </cfRule>
    <cfRule type="containsText" dxfId="54" priority="42" operator="containsText" text="Não se aplica">
      <formula>NOT(ISERROR(SEARCH("Não se aplica",AA1)))</formula>
    </cfRule>
  </conditionalFormatting>
  <conditionalFormatting sqref="XFD1:XFD1048576">
    <cfRule type="containsText" dxfId="53" priority="31" operator="containsText" text="Selecione">
      <formula>NOT(ISERROR(SEARCH("Selecione",XFD1)))</formula>
    </cfRule>
    <cfRule type="containsText" dxfId="52" priority="32" operator="containsText" text="Inválido">
      <formula>NOT(ISERROR(SEARCH("Inválido",XFD1)))</formula>
    </cfRule>
    <cfRule type="containsText" dxfId="51" priority="33" operator="containsText" text="Não se aplica">
      <formula>NOT(ISERROR(SEARCH("Não se aplica",XFD1)))</formula>
    </cfRule>
  </conditionalFormatting>
  <conditionalFormatting sqref="AA1:XFD1048576">
    <cfRule type="containsText" dxfId="50" priority="28" operator="containsText" text="Não se aplica">
      <formula>NOT(ISERROR(SEARCH("Não se aplica",AA1)))</formula>
    </cfRule>
    <cfRule type="containsText" dxfId="49" priority="29" operator="containsText" text="Inválido">
      <formula>NOT(ISERROR(SEARCH("Inválido",AA1)))</formula>
    </cfRule>
    <cfRule type="containsText" dxfId="48" priority="30" operator="containsText" text="Selecione">
      <formula>NOT(ISERROR(SEARCH("Selecione",AA1)))</formula>
    </cfRule>
  </conditionalFormatting>
  <conditionalFormatting sqref="AA1:XFD1048576">
    <cfRule type="containsText" dxfId="47" priority="25" operator="containsText" text="Não se aplica">
      <formula>NOT(ISERROR(SEARCH("Não se aplica",AA1)))</formula>
    </cfRule>
    <cfRule type="containsText" dxfId="46" priority="26" operator="containsText" text="Inválido">
      <formula>NOT(ISERROR(SEARCH("Inválido",AA1)))</formula>
    </cfRule>
    <cfRule type="containsText" dxfId="45" priority="27" operator="containsText" text="Selecione">
      <formula>NOT(ISERROR(SEARCH("Selecione",AA1)))</formula>
    </cfRule>
  </conditionalFormatting>
  <conditionalFormatting sqref="AA1:XFD1048576">
    <cfRule type="containsText" dxfId="44" priority="22" operator="containsText" text="Não se aplica">
      <formula>NOT(ISERROR(SEARCH("Não se aplica",AA1)))</formula>
    </cfRule>
    <cfRule type="containsText" dxfId="43" priority="23" operator="containsText" text="Inválido">
      <formula>NOT(ISERROR(SEARCH("Inválido",AA1)))</formula>
    </cfRule>
    <cfRule type="containsText" dxfId="42" priority="24" operator="containsText" text="Selecione">
      <formula>NOT(ISERROR(SEARCH("Selecione",AA1)))</formula>
    </cfRule>
  </conditionalFormatting>
  <conditionalFormatting sqref="AA1:XFD1048576">
    <cfRule type="containsText" dxfId="41" priority="19" operator="containsText" text="Não se aplica">
      <formula>NOT(ISERROR(SEARCH("Não se aplica",AA1)))</formula>
    </cfRule>
    <cfRule type="containsText" dxfId="40" priority="20" operator="containsText" text="Inválido">
      <formula>NOT(ISERROR(SEARCH("Inválido",AA1)))</formula>
    </cfRule>
    <cfRule type="containsText" dxfId="39" priority="21" operator="containsText" text="Selecione">
      <formula>NOT(ISERROR(SEARCH("Selecione",AA1)))</formula>
    </cfRule>
  </conditionalFormatting>
  <conditionalFormatting sqref="AA1:XFD1048576">
    <cfRule type="containsText" dxfId="38" priority="16" operator="containsText" text="Não se aplica">
      <formula>NOT(ISERROR(SEARCH("Não se aplica",AA1)))</formula>
    </cfRule>
    <cfRule type="containsText" dxfId="37" priority="17" operator="containsText" text="Inválido">
      <formula>NOT(ISERROR(SEARCH("Inválido",AA1)))</formula>
    </cfRule>
    <cfRule type="containsText" dxfId="36" priority="18" operator="containsText" text="Selecione">
      <formula>NOT(ISERROR(SEARCH("Selecione",AA1)))</formula>
    </cfRule>
  </conditionalFormatting>
  <conditionalFormatting sqref="AA1:XFD1048576">
    <cfRule type="containsText" dxfId="35" priority="13" operator="containsText" text="Não se aplica">
      <formula>NOT(ISERROR(SEARCH("Não se aplica",AA1)))</formula>
    </cfRule>
    <cfRule type="containsText" dxfId="34" priority="14" operator="containsText" text="Inválido">
      <formula>NOT(ISERROR(SEARCH("Inválido",AA1)))</formula>
    </cfRule>
    <cfRule type="containsText" dxfId="33" priority="15" operator="containsText" text="Selecione">
      <formula>NOT(ISERROR(SEARCH("Selecione",AA1)))</formula>
    </cfRule>
  </conditionalFormatting>
  <conditionalFormatting sqref="AA1:XFD1048576">
    <cfRule type="containsText" dxfId="32" priority="10" operator="containsText" text="Não se aplica">
      <formula>NOT(ISERROR(SEARCH("Não se aplica",AA1)))</formula>
    </cfRule>
    <cfRule type="containsText" dxfId="31" priority="11" operator="containsText" text="Inválido">
      <formula>NOT(ISERROR(SEARCH("Inválido",AA1)))</formula>
    </cfRule>
    <cfRule type="containsText" dxfId="30" priority="12" operator="containsText" text="Selecione">
      <formula>NOT(ISERROR(SEARCH("Selecione",AA1)))</formula>
    </cfRule>
  </conditionalFormatting>
  <conditionalFormatting sqref="AA1:XFD1048576">
    <cfRule type="containsText" dxfId="29" priority="7" operator="containsText" text="Não se aplica">
      <formula>NOT(ISERROR(SEARCH("Não se aplica",AA1)))</formula>
    </cfRule>
    <cfRule type="containsText" dxfId="28" priority="8" operator="containsText" text="Inválido">
      <formula>NOT(ISERROR(SEARCH("Inválido",AA1)))</formula>
    </cfRule>
    <cfRule type="containsText" dxfId="27" priority="9" operator="containsText" text="Selecione">
      <formula>NOT(ISERROR(SEARCH("Selecione",AA1)))</formula>
    </cfRule>
  </conditionalFormatting>
  <conditionalFormatting sqref="AA1:XFD1048576">
    <cfRule type="containsText" dxfId="26" priority="4" operator="containsText" text="Não se aplica">
      <formula>NOT(ISERROR(SEARCH("Não se aplica",AA1)))</formula>
    </cfRule>
    <cfRule type="containsText" dxfId="25" priority="5" operator="containsText" text="Inválido">
      <formula>NOT(ISERROR(SEARCH("Inválido",AA1)))</formula>
    </cfRule>
    <cfRule type="containsText" dxfId="24" priority="6" operator="containsText" text="Selecione">
      <formula>NOT(ISERROR(SEARCH("Selecione",AA1)))</formula>
    </cfRule>
  </conditionalFormatting>
  <conditionalFormatting sqref="A2:B2 A4:C4 E4 A8:J8 A6:C7 I6:J7 A11:J11 A9:C10 I9:J10 A13:J13 A12:D12 I12:J12 A14:D14 A16:C16 E16 A18:C18 E18 A20:C20 F20 U2:XFD2 Q2:R2 A1:XFD1 A3:XFD3 J2:K2 K6:XFD6 I4:L4 A5:L5 P4:XFD5 K8:XFD13 K7:M7 P7:XFD7 A15:XFD15 I14:M14 P14:XFD14 A17:XFD17 I16:N16 P16:XFD16 A19:XFD19 I18:M18 P18:XFD18 A21:XFD21 I20:M20 P20:XFD20 A23:XFD23 A22:M22 P22:XFD22 A25:XFD25 A24:M24 P24:XFD24 A27:XFD27 A26:M26 P26:XFD26 A29:XFD1048576 A28:M28 P28:XFD28">
    <cfRule type="containsText" dxfId="2" priority="3" operator="containsText" text="Selecione">
      <formula>NOT(ISERROR(SEARCH("Selecione",A1)))</formula>
    </cfRule>
    <cfRule type="containsText" dxfId="1" priority="2" operator="containsText" text="Inválido">
      <formula>NOT(ISERROR(SEARCH("Inválido",A1)))</formula>
    </cfRule>
    <cfRule type="containsText" dxfId="0" priority="1" operator="containsText" text="Não se aplica">
      <formula>NOT(ISERROR(SEARCH("Não se aplica",A1)))</formula>
    </cfRule>
  </conditionalFormatting>
  <dataValidations count="4">
    <dataValidation type="list" allowBlank="1" showInputMessage="1" showErrorMessage="1" sqref="M12" xr:uid="{09907C5B-E564-4BF5-BF3C-AEF97F7B7EEB}">
      <formula1>"Selecione,1x0,4x0,4x1,4x4"</formula1>
    </dataValidation>
    <dataValidation type="list" allowBlank="1" showInputMessage="1" showErrorMessage="1" sqref="N12" xr:uid="{BB35B3D7-A6C8-4E13-A336-63FABBD381BC}">
      <formula1>"Selecione,Preto,Pantone,Manual"</formula1>
    </dataValidation>
    <dataValidation type="list" allowBlank="1" showInputMessage="1" showErrorMessage="1" sqref="M14:O14" xr:uid="{747794AF-CB6E-48F7-979F-D71FEFC84056}">
      <formula1>"Selecione,Ambos os lados iguais,Lados diferentes,Não se aplica"</formula1>
    </dataValidation>
    <dataValidation type="list" allowBlank="1" showInputMessage="1" showErrorMessage="1" sqref="M16" xr:uid="{080CD7FF-D6BD-459B-BB68-6EC50733769A}">
      <formula1>"Selecione,nylon,gorgurão,Manual"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8712-8925-4D2C-92B7-C06132F31DA8}">
  <sheetPr codeName="Planilha5"/>
  <dimension ref="B1:N100"/>
  <sheetViews>
    <sheetView topLeftCell="A9" zoomScale="160" zoomScaleNormal="160" workbookViewId="0">
      <selection activeCell="B20" sqref="B20:F20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27" t="s">
        <v>101</v>
      </c>
      <c r="I2" s="127"/>
      <c r="J2" s="128" t="str">
        <f>IF(Especificações!E4=0,"",Especificações!E4)</f>
        <v/>
      </c>
      <c r="K2" s="128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29" t="s">
        <v>47</v>
      </c>
      <c r="D4" s="129"/>
      <c r="E4" s="118">
        <f ca="1">TODAY()</f>
        <v>45032</v>
      </c>
      <c r="F4" s="118"/>
      <c r="G4" s="118"/>
      <c r="H4" s="118"/>
      <c r="I4" s="118"/>
      <c r="J4" s="118"/>
      <c r="K4" s="118"/>
      <c r="L4" s="118"/>
      <c r="M4" s="118"/>
      <c r="N4" s="118"/>
    </row>
    <row r="5" spans="2:14" s="59" customFormat="1" x14ac:dyDescent="0.25">
      <c r="C5" s="78"/>
      <c r="D5" s="61"/>
      <c r="E5" s="61"/>
    </row>
    <row r="6" spans="2:14" x14ac:dyDescent="0.25">
      <c r="C6" s="77" t="s">
        <v>102</v>
      </c>
      <c r="D6" s="117" t="str">
        <f>IF(Especificações!C7=0,"",Especificações!C7)</f>
        <v/>
      </c>
      <c r="E6" s="117"/>
      <c r="F6" s="117"/>
      <c r="G6" s="117"/>
      <c r="H6" s="117"/>
      <c r="I6" s="117"/>
      <c r="J6" s="117"/>
      <c r="K6" s="117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103</v>
      </c>
      <c r="D8" s="117" t="str">
        <f>IF(Especificações!C10=0,"",Especificações!C10)</f>
        <v/>
      </c>
      <c r="E8" s="117"/>
      <c r="F8" s="117"/>
      <c r="G8" s="117"/>
      <c r="H8" s="117"/>
      <c r="I8" s="117"/>
      <c r="J8" s="117"/>
      <c r="K8" s="117"/>
    </row>
    <row r="9" spans="2:14" ht="7.5" customHeight="1" x14ac:dyDescent="0.25">
      <c r="C9" s="78"/>
      <c r="D9" s="60"/>
      <c r="E9" s="61"/>
    </row>
    <row r="10" spans="2:14" x14ac:dyDescent="0.25">
      <c r="C10" s="77" t="s">
        <v>104</v>
      </c>
      <c r="D10" s="117" t="str">
        <f>IF(Especificações!D12=0,"",Especificações!D12)</f>
        <v/>
      </c>
      <c r="E10" s="117"/>
      <c r="F10" s="117"/>
      <c r="G10" s="117"/>
      <c r="H10" s="117"/>
      <c r="I10" s="117"/>
      <c r="J10" s="117"/>
      <c r="K10" s="117"/>
    </row>
    <row r="11" spans="2:14" ht="6" customHeight="1" x14ac:dyDescent="0.25">
      <c r="C11" s="77"/>
      <c r="E11"/>
    </row>
    <row r="12" spans="2:14" ht="15" customHeight="1" x14ac:dyDescent="0.25">
      <c r="C12" s="77" t="s">
        <v>105</v>
      </c>
      <c r="D12" s="117" t="str">
        <f>IF(Especificações!D14=0,"",Especificações!D14)</f>
        <v/>
      </c>
      <c r="E12" s="117"/>
      <c r="F12" s="117"/>
      <c r="G12" s="117"/>
      <c r="H12" s="117"/>
      <c r="I12" s="117"/>
      <c r="J12" s="117"/>
      <c r="K12" s="117"/>
    </row>
    <row r="13" spans="2:14" ht="7.5" customHeight="1" x14ac:dyDescent="0.25">
      <c r="E13"/>
    </row>
    <row r="14" spans="2:14" ht="15.75" customHeight="1" x14ac:dyDescent="0.25">
      <c r="B14" s="130" t="str">
        <f>IF(Especificações!S4=0,"",Especificações!S4)</f>
        <v>Nome do Material</v>
      </c>
      <c r="C14" s="130"/>
      <c r="D14" s="130"/>
      <c r="E14" s="130"/>
      <c r="F14" s="130"/>
      <c r="G14" s="130"/>
      <c r="H14" s="130"/>
      <c r="I14" s="130"/>
      <c r="J14" s="130"/>
      <c r="K14" s="130"/>
    </row>
    <row r="15" spans="2:14" ht="15" customHeight="1" x14ac:dyDescent="0.25">
      <c r="B15" s="130"/>
      <c r="C15" s="130"/>
      <c r="D15" s="130"/>
      <c r="E15" s="130"/>
      <c r="F15" s="130"/>
      <c r="G15" s="130"/>
      <c r="H15" s="130"/>
      <c r="I15" s="130"/>
      <c r="J15" s="130"/>
      <c r="K15" s="130"/>
    </row>
    <row r="16" spans="2:14" ht="6" customHeight="1" x14ac:dyDescent="0.25">
      <c r="E16"/>
      <c r="F16"/>
      <c r="G16"/>
      <c r="H16"/>
    </row>
    <row r="17" spans="2:11" x14ac:dyDescent="0.25">
      <c r="B17" s="117" t="str">
        <f>IF(Especificações!S5=0,"",Especificações!S5)</f>
        <v xml:space="preserve">Tamanho: </v>
      </c>
      <c r="C17" s="117"/>
      <c r="D17" s="117"/>
      <c r="E17" s="117"/>
      <c r="F17" s="117"/>
      <c r="G17" s="117" t="str">
        <f>IF(Especificações!S12=0,"",Especificações!S12)</f>
        <v>Acabamento / Complemento 1</v>
      </c>
      <c r="H17" s="117"/>
      <c r="I17" s="117"/>
      <c r="J17" s="117"/>
      <c r="K17" s="117"/>
    </row>
    <row r="18" spans="2:11" x14ac:dyDescent="0.25">
      <c r="B18" s="117" t="str">
        <f>IF(Especificações!S6=0,"",Especificações!S6)</f>
        <v>Largura: cm</v>
      </c>
      <c r="C18" s="117"/>
      <c r="D18" s="117"/>
      <c r="E18" s="117"/>
      <c r="F18" s="117"/>
      <c r="G18" s="117" t="str">
        <f>IF(Especificações!S13=0,"",Especificações!S13)</f>
        <v>Acabamento / Complemento 2</v>
      </c>
      <c r="H18" s="117"/>
      <c r="I18" s="117"/>
      <c r="J18" s="117"/>
      <c r="K18" s="117"/>
    </row>
    <row r="19" spans="2:11" x14ac:dyDescent="0.25">
      <c r="B19" s="117" t="str">
        <f>IF(Especificações!S7=0,"",Especificações!S7)</f>
        <v>Profundidade: cm</v>
      </c>
      <c r="C19" s="117"/>
      <c r="D19" s="117"/>
      <c r="E19" s="117"/>
      <c r="F19" s="117"/>
      <c r="G19" s="117" t="str">
        <f>IF(Especificações!S14=0,"",Especificações!S14)</f>
        <v>Acabamento / Complemento 3</v>
      </c>
      <c r="H19" s="117"/>
      <c r="I19" s="117"/>
      <c r="J19" s="117"/>
      <c r="K19" s="117"/>
    </row>
    <row r="20" spans="2:11" x14ac:dyDescent="0.25">
      <c r="B20" s="117" t="str">
        <f>IF(Especificações!S8=0,"",Especificações!S8)</f>
        <v>Altura: cm</v>
      </c>
      <c r="C20" s="117"/>
      <c r="D20" s="117"/>
      <c r="E20" s="117"/>
      <c r="F20" s="117"/>
      <c r="G20" s="117" t="str">
        <f>IF(Especificações!S15=0,"",Especificações!S15)</f>
        <v>Acabamento / Complemento 4</v>
      </c>
      <c r="H20" s="117"/>
      <c r="I20" s="117"/>
      <c r="J20" s="117"/>
      <c r="K20" s="117"/>
    </row>
    <row r="21" spans="2:11" x14ac:dyDescent="0.25">
      <c r="B21" s="117" t="str">
        <f>IF(Especificações!S9=0,"",Especificações!S9)</f>
        <v>Selecione</v>
      </c>
      <c r="C21" s="117"/>
      <c r="D21" s="117"/>
      <c r="E21" s="117"/>
      <c r="F21" s="117"/>
      <c r="G21" s="117" t="str">
        <f>IF(Especificações!S16=0,"",Especificações!S16)</f>
        <v>Acabamento / Complemento 5</v>
      </c>
      <c r="H21" s="117"/>
      <c r="I21" s="117"/>
      <c r="J21" s="117"/>
      <c r="K21" s="117"/>
    </row>
    <row r="22" spans="2:11" x14ac:dyDescent="0.25">
      <c r="B22" s="117" t="str">
        <f>IF(Especificações!S10=0,"",Especificações!S10)</f>
        <v>Papel: Inválido</v>
      </c>
      <c r="C22" s="117"/>
      <c r="D22" s="117"/>
      <c r="E22" s="117"/>
      <c r="F22" s="117"/>
      <c r="G22" s="117" t="str">
        <f>IF(Especificações!S17=0,"",Especificações!S17)</f>
        <v>Acabamento / Complemento 6</v>
      </c>
      <c r="H22" s="117"/>
      <c r="I22" s="117"/>
      <c r="J22" s="117"/>
      <c r="K22" s="117"/>
    </row>
    <row r="23" spans="2:11" x14ac:dyDescent="0.25">
      <c r="B23" s="117" t="str">
        <f>IF(Especificações!S11=0,"",Especificações!S11)</f>
        <v xml:space="preserve">Impressão: </v>
      </c>
      <c r="C23" s="117"/>
      <c r="D23" s="117"/>
      <c r="E23" s="117"/>
      <c r="F23" s="117"/>
      <c r="G23" s="117"/>
      <c r="H23" s="117"/>
      <c r="I23" s="117"/>
      <c r="J23" s="117"/>
      <c r="K23" s="117"/>
    </row>
    <row r="24" spans="2:11" x14ac:dyDescent="0.25">
      <c r="E24"/>
      <c r="F24"/>
      <c r="G24"/>
      <c r="H24"/>
    </row>
    <row r="25" spans="2:11" x14ac:dyDescent="0.25">
      <c r="B25" s="126" t="s">
        <v>24</v>
      </c>
      <c r="C25" s="126"/>
      <c r="D25" s="126"/>
      <c r="E25" s="126"/>
      <c r="F25" s="126"/>
      <c r="G25" s="126"/>
      <c r="H25" s="126"/>
      <c r="I25" s="126"/>
      <c r="J25" s="126"/>
      <c r="K25" s="126"/>
    </row>
    <row r="26" spans="2:11" x14ac:dyDescent="0.25">
      <c r="B26" s="126" t="s">
        <v>25</v>
      </c>
      <c r="C26" s="126"/>
      <c r="D26" s="126"/>
      <c r="E26" s="126"/>
      <c r="F26" s="126"/>
      <c r="G26" s="126"/>
      <c r="H26" s="126"/>
      <c r="I26" s="126"/>
      <c r="J26" s="126"/>
      <c r="K26" s="126"/>
    </row>
    <row r="27" spans="2:11" x14ac:dyDescent="0.25">
      <c r="E27"/>
      <c r="F27"/>
      <c r="G27"/>
      <c r="H27"/>
    </row>
    <row r="28" spans="2:11" x14ac:dyDescent="0.25">
      <c r="C28" s="124" t="s">
        <v>1</v>
      </c>
      <c r="D28" s="124"/>
      <c r="E28" s="124" t="s">
        <v>9</v>
      </c>
      <c r="F28" s="124"/>
      <c r="G28" s="124" t="s">
        <v>18</v>
      </c>
      <c r="H28" s="124"/>
      <c r="I28" s="124" t="s">
        <v>20</v>
      </c>
      <c r="J28" s="124"/>
    </row>
    <row r="29" spans="2:11" x14ac:dyDescent="0.25">
      <c r="C29" s="124">
        <f>'Tiragem - 1'!$L$16</f>
        <v>250</v>
      </c>
      <c r="D29" s="124"/>
      <c r="E29" s="125">
        <f>'Tiragem - 1'!$L$22</f>
        <v>0</v>
      </c>
      <c r="F29" s="125"/>
      <c r="G29" s="38" t="s">
        <v>48</v>
      </c>
      <c r="H29" s="69">
        <f>'Tiragem - 1'!$L$20</f>
        <v>0</v>
      </c>
      <c r="I29" s="125">
        <f>'Tiragem - 1'!$L$21</f>
        <v>0</v>
      </c>
      <c r="J29" s="125"/>
    </row>
    <row r="30" spans="2:11" x14ac:dyDescent="0.25">
      <c r="C30" s="124">
        <f>'Tiragem - 2'!$L$16</f>
        <v>500</v>
      </c>
      <c r="D30" s="124"/>
      <c r="E30" s="125">
        <f>'Tiragem - 2'!$L$22</f>
        <v>0</v>
      </c>
      <c r="F30" s="125"/>
      <c r="G30" s="38" t="s">
        <v>48</v>
      </c>
      <c r="H30" s="69">
        <f>'Tiragem - 2'!$L$20</f>
        <v>0</v>
      </c>
      <c r="I30" s="125">
        <f>'Tiragem - 2'!$L$21</f>
        <v>0</v>
      </c>
      <c r="J30" s="125"/>
    </row>
    <row r="31" spans="2:11" x14ac:dyDescent="0.25">
      <c r="C31" s="124">
        <f>'Tiragem - 3'!$L$16</f>
        <v>1000</v>
      </c>
      <c r="D31" s="124"/>
      <c r="E31" s="125">
        <f>'Tiragem - 3'!$L$22</f>
        <v>0</v>
      </c>
      <c r="F31" s="125"/>
      <c r="G31" s="38" t="s">
        <v>48</v>
      </c>
      <c r="H31" s="69">
        <f>'Tiragem - 3'!$L$20</f>
        <v>0</v>
      </c>
      <c r="I31" s="125">
        <f>'Tiragem - 3'!$L$21</f>
        <v>0</v>
      </c>
      <c r="J31" s="125"/>
    </row>
    <row r="32" spans="2:11" x14ac:dyDescent="0.25">
      <c r="C32" s="124">
        <f>'Tiragem - 4'!$L$16</f>
        <v>2000</v>
      </c>
      <c r="D32" s="124"/>
      <c r="E32" s="125">
        <f>'Tiragem - 4'!$L$22</f>
        <v>0</v>
      </c>
      <c r="F32" s="125"/>
      <c r="G32" s="38" t="s">
        <v>48</v>
      </c>
      <c r="H32" s="69">
        <f>'Tiragem - 4'!$L$20</f>
        <v>0</v>
      </c>
      <c r="I32" s="125">
        <f>'Tiragem - 4'!$L$21</f>
        <v>0</v>
      </c>
      <c r="J32" s="125"/>
    </row>
    <row r="33" spans="2:11" x14ac:dyDescent="0.25">
      <c r="E33" s="57"/>
      <c r="F33" s="57"/>
      <c r="G33" s="57"/>
      <c r="H33" s="57"/>
    </row>
    <row r="34" spans="2:11" x14ac:dyDescent="0.25">
      <c r="B34" s="123" t="s">
        <v>46</v>
      </c>
      <c r="C34" s="123"/>
      <c r="D34" s="123"/>
      <c r="E34" s="123"/>
      <c r="F34" s="123"/>
      <c r="G34" s="123"/>
      <c r="H34" s="123"/>
      <c r="I34" s="123"/>
      <c r="J34" s="123"/>
      <c r="K34" s="123"/>
    </row>
    <row r="35" spans="2:11" x14ac:dyDescent="0.25">
      <c r="E35" s="57"/>
      <c r="F35" s="57"/>
      <c r="G35" s="57"/>
      <c r="H35" s="57"/>
    </row>
    <row r="36" spans="2:11" x14ac:dyDescent="0.25">
      <c r="C36" s="124" t="s">
        <v>1</v>
      </c>
      <c r="D36" s="124"/>
      <c r="E36" s="124" t="s">
        <v>9</v>
      </c>
      <c r="F36" s="124"/>
      <c r="G36" s="124" t="s">
        <v>18</v>
      </c>
      <c r="H36" s="124"/>
      <c r="I36" s="124" t="s">
        <v>20</v>
      </c>
      <c r="J36" s="124"/>
    </row>
    <row r="37" spans="2:11" x14ac:dyDescent="0.25">
      <c r="C37" s="119">
        <f>'Tiragem - 1'!$L$16</f>
        <v>250</v>
      </c>
      <c r="D37" s="120"/>
      <c r="E37" s="121">
        <f>'Tiragem - 1'!$L$26</f>
        <v>0</v>
      </c>
      <c r="F37" s="122"/>
      <c r="G37" s="70" t="str">
        <f>'Tiragem - 1'!$L$29&amp;"x"</f>
        <v>3x</v>
      </c>
      <c r="H37" s="69">
        <f>'Tiragem - 1'!$L$24</f>
        <v>0</v>
      </c>
      <c r="I37" s="121">
        <f>'Tiragem - 1'!$L$25</f>
        <v>0</v>
      </c>
      <c r="J37" s="122"/>
    </row>
    <row r="38" spans="2:11" x14ac:dyDescent="0.25">
      <c r="C38" s="119">
        <f>'Tiragem - 2'!$L$16</f>
        <v>500</v>
      </c>
      <c r="D38" s="120"/>
      <c r="E38" s="121">
        <f>'Tiragem - 2'!$L$26</f>
        <v>0</v>
      </c>
      <c r="F38" s="122"/>
      <c r="G38" s="70" t="str">
        <f>'Tiragem - 2'!$L$29&amp;"x"</f>
        <v>3x</v>
      </c>
      <c r="H38" s="69">
        <f>'Tiragem - 2'!$L$24</f>
        <v>0</v>
      </c>
      <c r="I38" s="121">
        <f>'Tiragem - 2'!$L$25</f>
        <v>0</v>
      </c>
      <c r="J38" s="122"/>
    </row>
    <row r="39" spans="2:11" x14ac:dyDescent="0.25">
      <c r="C39" s="119">
        <f>'Tiragem - 3'!$L$16</f>
        <v>1000</v>
      </c>
      <c r="D39" s="120"/>
      <c r="E39" s="121">
        <f>'Tiragem - 3'!$L$26</f>
        <v>0</v>
      </c>
      <c r="F39" s="122"/>
      <c r="G39" s="70" t="str">
        <f>'Tiragem - 3'!$L$29&amp;"x"</f>
        <v>3x</v>
      </c>
      <c r="H39" s="69">
        <f>'Tiragem - 3'!$L$24</f>
        <v>0</v>
      </c>
      <c r="I39" s="121">
        <f>'Tiragem - 3'!$L$25</f>
        <v>0</v>
      </c>
      <c r="J39" s="122"/>
    </row>
    <row r="40" spans="2:11" x14ac:dyDescent="0.25">
      <c r="C40" s="119">
        <f>'Tiragem - 4'!$L$16</f>
        <v>2000</v>
      </c>
      <c r="D40" s="120"/>
      <c r="E40" s="121">
        <f>'Tiragem - 4'!$L$26</f>
        <v>0</v>
      </c>
      <c r="F40" s="122"/>
      <c r="G40" s="70" t="str">
        <f>'Tiragem - 4'!$L$29&amp;"x"</f>
        <v>3x</v>
      </c>
      <c r="H40" s="69">
        <f>'Tiragem - 4'!$L$24</f>
        <v>0</v>
      </c>
      <c r="I40" s="121">
        <f>'Tiragem - 4'!$L$25</f>
        <v>0</v>
      </c>
      <c r="J40" s="122"/>
    </row>
    <row r="41" spans="2:11" x14ac:dyDescent="0.25">
      <c r="E41"/>
    </row>
    <row r="42" spans="2:11" ht="15" customHeight="1" x14ac:dyDescent="0.25">
      <c r="C42" s="114" t="s">
        <v>51</v>
      </c>
      <c r="D42" s="114"/>
      <c r="E42" s="114"/>
      <c r="F42" s="114"/>
      <c r="G42" s="114"/>
      <c r="H42" s="114"/>
      <c r="I42" s="114"/>
      <c r="J42" s="114"/>
    </row>
    <row r="43" spans="2:11" ht="15" customHeight="1" x14ac:dyDescent="0.25">
      <c r="C43" s="114"/>
      <c r="D43" s="114"/>
      <c r="E43" s="114"/>
      <c r="F43" s="114"/>
      <c r="G43" s="114"/>
      <c r="H43" s="114"/>
      <c r="I43" s="114"/>
      <c r="J43" s="114"/>
    </row>
    <row r="44" spans="2:11" x14ac:dyDescent="0.25">
      <c r="C44" s="114"/>
      <c r="D44" s="114"/>
      <c r="E44" s="114"/>
      <c r="F44" s="114"/>
      <c r="G44" s="114"/>
      <c r="H44" s="114"/>
      <c r="I44" s="114"/>
      <c r="J44" s="114"/>
    </row>
    <row r="45" spans="2:11" x14ac:dyDescent="0.25">
      <c r="E45"/>
    </row>
    <row r="46" spans="2:11" x14ac:dyDescent="0.25">
      <c r="C46" s="115" t="s">
        <v>44</v>
      </c>
      <c r="D46" s="115"/>
      <c r="E46" s="116" t="str">
        <f>IF(Especificações!E16=0,"",Especificações!E16)</f>
        <v/>
      </c>
      <c r="F46" s="116"/>
      <c r="G46" s="116"/>
      <c r="H46" s="116"/>
      <c r="I46" s="67" t="s">
        <v>45</v>
      </c>
      <c r="J46" s="76" t="s">
        <v>87</v>
      </c>
    </row>
    <row r="47" spans="2:11" ht="5.25" customHeight="1" x14ac:dyDescent="0.25">
      <c r="E47"/>
    </row>
    <row r="48" spans="2:11" x14ac:dyDescent="0.25">
      <c r="C48" s="117" t="str">
        <f>"Previsão "&amp;Especificações!E18&amp;" dias úteis após confirmação da arte e pagamento"</f>
        <v>Previsão 5 dias úteis após confirmação da arte e pagamento</v>
      </c>
      <c r="D48" s="117"/>
      <c r="E48" s="117"/>
      <c r="F48" s="117"/>
      <c r="G48" s="117"/>
      <c r="H48" s="117"/>
      <c r="I48" s="117"/>
      <c r="J48" s="117"/>
      <c r="K48" s="117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D8:K8"/>
    <mergeCell ref="D10:K10"/>
    <mergeCell ref="D12:K12"/>
    <mergeCell ref="B14:K15"/>
    <mergeCell ref="B17:F17"/>
    <mergeCell ref="G17:K17"/>
    <mergeCell ref="H2:I2"/>
    <mergeCell ref="J2:K2"/>
    <mergeCell ref="C4:D4"/>
    <mergeCell ref="E4:K4"/>
    <mergeCell ref="D6:K6"/>
    <mergeCell ref="G18:K18"/>
    <mergeCell ref="B19:F19"/>
    <mergeCell ref="G19:K19"/>
    <mergeCell ref="B20:F20"/>
    <mergeCell ref="G20:K20"/>
    <mergeCell ref="B18:F18"/>
    <mergeCell ref="B21:F21"/>
    <mergeCell ref="G21:K21"/>
    <mergeCell ref="B22:F22"/>
    <mergeCell ref="G22:K22"/>
    <mergeCell ref="B23:K23"/>
    <mergeCell ref="B25:K25"/>
    <mergeCell ref="B26:K26"/>
    <mergeCell ref="C28:D28"/>
    <mergeCell ref="E28:F28"/>
    <mergeCell ref="G28:H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I38:J38"/>
    <mergeCell ref="B34:K34"/>
    <mergeCell ref="C36:D36"/>
    <mergeCell ref="E36:F36"/>
    <mergeCell ref="G36:H36"/>
    <mergeCell ref="I36:J36"/>
    <mergeCell ref="C42:J44"/>
    <mergeCell ref="C46:D46"/>
    <mergeCell ref="E46:H46"/>
    <mergeCell ref="C48:K48"/>
    <mergeCell ref="L4:N4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</mergeCells>
  <dataValidations count="6">
    <dataValidation allowBlank="1" showInputMessage="1" showErrorMessage="1" prompt="Insira o Valor nesta coluna sob este cabeçalho" sqref="E5" xr:uid="{F22A2E1C-89BE-4B3E-AAE3-5837E6956951}"/>
    <dataValidation allowBlank="1" showInputMessage="1" showErrorMessage="1" prompt="Insira a Data do depósito da poupança nesta coluna sob este cabeçalho. Use filtros de cabeçalho para encontrar entradas específicas" sqref="D5" xr:uid="{60F2E97C-6C5B-4A45-9444-BD2864D80EFB}"/>
    <dataValidation allowBlank="1" showErrorMessage="1" prompt="Insira as Economias mensais na tabela abaixo" sqref="E4:K4" xr:uid="{873B1FE2-83B9-4F6F-B37E-4C3783EC7D7F}"/>
    <dataValidation allowBlank="1" showInputMessage="1" showErrorMessage="1" prompt="Insira as Economias mensais na tabela abaixo" sqref="L4" xr:uid="{9242E0B6-EAF3-4953-8328-F280943BD445}"/>
    <dataValidation allowBlank="1" showInputMessage="1" showErrorMessage="1" prompt="O título é atualizado automaticamente nesta célula" sqref="D2:D3" xr:uid="{3B50131B-3212-4691-96CE-A4773C1F9736}"/>
    <dataValidation allowBlank="1" showInputMessage="1" showErrorMessage="1" prompt="Insira a Economia mensal nesta planilha" sqref="C2:C3" xr:uid="{D2D3AE56-00E3-4EB4-B5E9-E2249001AF9B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EFEF-1F03-4E68-B33D-2AF4887F9FCD}">
  <sheetPr codeName="Planilha8"/>
  <dimension ref="B2:BC50"/>
  <sheetViews>
    <sheetView topLeftCell="AG1" workbookViewId="0">
      <selection activeCell="BB35" sqref="BB35"/>
    </sheetView>
  </sheetViews>
  <sheetFormatPr defaultRowHeight="15" x14ac:dyDescent="0.25"/>
  <cols>
    <col min="1" max="1" width="2.85546875" customWidth="1"/>
    <col min="2" max="2" width="30.42578125" style="57" bestFit="1" customWidth="1"/>
    <col min="3" max="3" width="2.85546875" customWidth="1"/>
    <col min="5" max="5" width="38.7109375" bestFit="1" customWidth="1"/>
    <col min="6" max="6" width="2.85546875" customWidth="1"/>
    <col min="8" max="8" width="2.85546875" customWidth="1"/>
    <col min="9" max="9" width="18.42578125" style="57" bestFit="1" customWidth="1"/>
    <col min="10" max="10" width="2.85546875" customWidth="1"/>
    <col min="11" max="11" width="12.5703125" style="57" bestFit="1" customWidth="1"/>
    <col min="12" max="12" width="2.85546875" customWidth="1"/>
    <col min="16" max="16" width="2.85546875" customWidth="1"/>
    <col min="17" max="17" width="28.7109375" bestFit="1" customWidth="1"/>
    <col min="18" max="18" width="18.140625" customWidth="1"/>
    <col min="52" max="53" width="2.85546875" customWidth="1"/>
    <col min="54" max="54" width="62.140625" customWidth="1"/>
    <col min="55" max="56" width="2.85546875" customWidth="1"/>
  </cols>
  <sheetData>
    <row r="2" spans="2:55" ht="15" customHeight="1" x14ac:dyDescent="0.25">
      <c r="B2" s="87" t="s">
        <v>59</v>
      </c>
      <c r="C2" s="79"/>
      <c r="D2" s="131" t="s">
        <v>64</v>
      </c>
      <c r="E2" s="131"/>
      <c r="F2" s="79"/>
      <c r="G2" s="87" t="s">
        <v>69</v>
      </c>
      <c r="I2" s="88" t="s">
        <v>74</v>
      </c>
      <c r="K2" s="88" t="s">
        <v>79</v>
      </c>
      <c r="BA2" s="132" t="s">
        <v>110</v>
      </c>
      <c r="BB2" s="132"/>
      <c r="BC2" s="132"/>
    </row>
    <row r="3" spans="2:55" ht="15" customHeight="1" x14ac:dyDescent="0.25">
      <c r="B3" s="86" t="s">
        <v>60</v>
      </c>
      <c r="C3" s="79"/>
      <c r="D3" s="71" t="s">
        <v>64</v>
      </c>
      <c r="E3" s="71" t="s">
        <v>13</v>
      </c>
      <c r="G3" s="72" t="s">
        <v>69</v>
      </c>
      <c r="I3" s="86" t="s">
        <v>74</v>
      </c>
      <c r="K3" s="86" t="s">
        <v>79</v>
      </c>
      <c r="BA3" s="80"/>
      <c r="BB3" t="s">
        <v>24</v>
      </c>
      <c r="BC3" s="81"/>
    </row>
    <row r="4" spans="2:55" x14ac:dyDescent="0.25">
      <c r="B4" s="86" t="s">
        <v>61</v>
      </c>
      <c r="D4" s="86" t="s">
        <v>65</v>
      </c>
      <c r="E4" s="71" t="s">
        <v>73</v>
      </c>
      <c r="G4" s="72" t="s">
        <v>70</v>
      </c>
      <c r="I4" s="86" t="s">
        <v>75</v>
      </c>
      <c r="K4" s="86" t="s">
        <v>80</v>
      </c>
      <c r="BA4" s="80"/>
      <c r="BB4" t="s">
        <v>25</v>
      </c>
      <c r="BC4" s="81"/>
    </row>
    <row r="5" spans="2:55" x14ac:dyDescent="0.25">
      <c r="B5" s="86" t="s">
        <v>77</v>
      </c>
      <c r="D5" s="86" t="s">
        <v>66</v>
      </c>
      <c r="E5" s="71" t="s">
        <v>72</v>
      </c>
      <c r="G5" s="72" t="s">
        <v>71</v>
      </c>
      <c r="I5" s="86" t="s">
        <v>76</v>
      </c>
      <c r="K5" s="86"/>
      <c r="BA5" s="80"/>
      <c r="BC5" s="81"/>
    </row>
    <row r="6" spans="2:55" x14ac:dyDescent="0.25">
      <c r="B6" s="86" t="s">
        <v>62</v>
      </c>
      <c r="D6" s="86" t="s">
        <v>67</v>
      </c>
      <c r="E6" s="71" t="s">
        <v>72</v>
      </c>
      <c r="G6" s="72"/>
      <c r="I6" s="86"/>
      <c r="K6" s="86"/>
      <c r="BA6" s="80"/>
      <c r="BB6" t="str">
        <f>'Tiragem - 1'!$U$5</f>
        <v>*250 unidades / R$ 0,00 a unidade*</v>
      </c>
      <c r="BC6" s="81"/>
    </row>
    <row r="7" spans="2:55" x14ac:dyDescent="0.25">
      <c r="B7" s="86" t="s">
        <v>78</v>
      </c>
      <c r="D7" s="86" t="s">
        <v>68</v>
      </c>
      <c r="E7" s="71" t="s">
        <v>72</v>
      </c>
      <c r="G7" s="72"/>
      <c r="I7" s="86"/>
      <c r="K7" s="86"/>
      <c r="BA7" s="80"/>
      <c r="BB7" t="str">
        <f>'Tiragem - 1'!$U$6</f>
        <v>2x R$ 0,00 / Total: R$ 0,00</v>
      </c>
      <c r="BC7" s="81"/>
    </row>
    <row r="8" spans="2:55" x14ac:dyDescent="0.25">
      <c r="B8" s="86"/>
      <c r="D8" s="86"/>
      <c r="E8" s="71"/>
      <c r="G8" s="72"/>
      <c r="I8" s="86"/>
      <c r="K8" s="86"/>
      <c r="BA8" s="80"/>
      <c r="BC8" s="81"/>
    </row>
    <row r="9" spans="2:55" x14ac:dyDescent="0.25">
      <c r="B9" s="86"/>
      <c r="K9" s="86"/>
      <c r="BA9" s="80"/>
      <c r="BB9" t="str">
        <f>'Tiragem - 2'!$U$5</f>
        <v>*500 unidades / R$ 0,00 a unidade*</v>
      </c>
      <c r="BC9" s="81"/>
    </row>
    <row r="10" spans="2:55" x14ac:dyDescent="0.25">
      <c r="B10" s="86"/>
      <c r="K10" s="86"/>
      <c r="BA10" s="80"/>
      <c r="BB10" t="str">
        <f>'Tiragem - 2'!$U$6</f>
        <v>2x R$ 0,00 / Total: R$ 0,00</v>
      </c>
      <c r="BC10" s="81"/>
    </row>
    <row r="11" spans="2:55" x14ac:dyDescent="0.25">
      <c r="B11" s="86"/>
      <c r="K11" s="86"/>
      <c r="BA11" s="80"/>
      <c r="BC11" s="81"/>
    </row>
    <row r="12" spans="2:55" x14ac:dyDescent="0.25">
      <c r="B12" s="86"/>
      <c r="K12" s="86"/>
      <c r="BA12" s="80"/>
      <c r="BB12" t="str">
        <f>'Tiragem - 3'!$U$5</f>
        <v>*1000 unidades / R$ 0,00 a unidade*</v>
      </c>
      <c r="BC12" s="81"/>
    </row>
    <row r="13" spans="2:55" x14ac:dyDescent="0.25">
      <c r="B13" s="86"/>
      <c r="K13" s="86"/>
      <c r="BA13" s="80"/>
      <c r="BB13" t="str">
        <f>'Tiragem - 3'!$U$6</f>
        <v>2x R$ 0,00 / Total: R$ 0,00</v>
      </c>
      <c r="BC13" s="81"/>
    </row>
    <row r="14" spans="2:55" x14ac:dyDescent="0.25">
      <c r="B14" s="86"/>
      <c r="BA14" s="80"/>
      <c r="BC14" s="81"/>
    </row>
    <row r="15" spans="2:55" x14ac:dyDescent="0.25">
      <c r="B15" s="86"/>
      <c r="BA15" s="80"/>
      <c r="BB15" t="str">
        <f>'Tiragem - 4'!$U$5</f>
        <v>*2000 unidades / R$ 0,00 a unidade*</v>
      </c>
      <c r="BC15" s="81"/>
    </row>
    <row r="16" spans="2:55" x14ac:dyDescent="0.25">
      <c r="B16" s="86"/>
      <c r="BA16" s="80"/>
      <c r="BB16" t="str">
        <f>'Tiragem - 4'!$U$6</f>
        <v>2x R$ 0,00 / Total: R$ 0,00</v>
      </c>
      <c r="BC16" s="81"/>
    </row>
    <row r="17" spans="2:55" x14ac:dyDescent="0.25">
      <c r="B17" s="86"/>
      <c r="BA17" s="82"/>
      <c r="BB17" s="83"/>
      <c r="BC17" s="84"/>
    </row>
    <row r="18" spans="2:55" x14ac:dyDescent="0.25">
      <c r="B18" s="86"/>
      <c r="BA18" s="80"/>
      <c r="BB18" s="2"/>
      <c r="BC18" s="81"/>
    </row>
    <row r="19" spans="2:55" x14ac:dyDescent="0.25">
      <c r="B19" s="86"/>
      <c r="BA19" s="80"/>
      <c r="BB19" t="s">
        <v>46</v>
      </c>
      <c r="BC19" s="81"/>
    </row>
    <row r="20" spans="2:55" x14ac:dyDescent="0.25">
      <c r="B20" s="86"/>
      <c r="BA20" s="80"/>
      <c r="BC20" s="81"/>
    </row>
    <row r="21" spans="2:55" x14ac:dyDescent="0.25">
      <c r="B21" s="86"/>
      <c r="BA21" s="80"/>
      <c r="BB21" t="str">
        <f>'Tiragem - 1'!$U$12</f>
        <v>*250 unidades / R$ 0,00 a unidade*</v>
      </c>
      <c r="BC21" s="81"/>
    </row>
    <row r="22" spans="2:55" x14ac:dyDescent="0.25">
      <c r="B22" s="86"/>
      <c r="BA22" s="80"/>
      <c r="BB22" t="str">
        <f>'Tiragem - 1'!$U$13</f>
        <v>3x R$ 0,00 / Total: R$ 0,00</v>
      </c>
      <c r="BC22" s="81"/>
    </row>
    <row r="23" spans="2:55" x14ac:dyDescent="0.25">
      <c r="B23" s="86"/>
      <c r="BA23" s="80"/>
      <c r="BC23" s="81"/>
    </row>
    <row r="24" spans="2:55" x14ac:dyDescent="0.25">
      <c r="B24" s="86"/>
      <c r="BA24" s="80"/>
      <c r="BB24" t="str">
        <f>'Tiragem - 2'!$U$12</f>
        <v>*500 unidades / R$ 0,00 a unidade*</v>
      </c>
      <c r="BC24" s="81"/>
    </row>
    <row r="25" spans="2:55" x14ac:dyDescent="0.25">
      <c r="B25" s="86"/>
      <c r="BA25" s="80"/>
      <c r="BB25" t="str">
        <f>'Tiragem - 2'!$U$13</f>
        <v>3x R$ 0,00 / Total: R$ 0,00</v>
      </c>
      <c r="BC25" s="81"/>
    </row>
    <row r="26" spans="2:55" x14ac:dyDescent="0.25">
      <c r="B26" s="86"/>
      <c r="BA26" s="80"/>
      <c r="BB26" s="2"/>
      <c r="BC26" s="81"/>
    </row>
    <row r="27" spans="2:55" x14ac:dyDescent="0.25">
      <c r="B27" s="86"/>
      <c r="BA27" s="80"/>
      <c r="BB27" t="str">
        <f>'Tiragem - 3'!$U$12</f>
        <v>*1000 unidades / R$ 0,00 a unidade*</v>
      </c>
      <c r="BC27" s="81"/>
    </row>
    <row r="28" spans="2:55" x14ac:dyDescent="0.25">
      <c r="B28" s="86"/>
      <c r="BA28" s="80"/>
      <c r="BB28" t="str">
        <f>'Tiragem - 3'!$U$13</f>
        <v>3x R$ 0,00 / Total: R$ 0,00</v>
      </c>
      <c r="BC28" s="81"/>
    </row>
    <row r="29" spans="2:55" x14ac:dyDescent="0.25">
      <c r="B29" s="86"/>
      <c r="BA29" s="80"/>
      <c r="BC29" s="81"/>
    </row>
    <row r="30" spans="2:55" x14ac:dyDescent="0.25">
      <c r="B30" s="86"/>
      <c r="BA30" s="80"/>
      <c r="BB30" t="str">
        <f>'Tiragem - 4'!$U$12</f>
        <v>*2000 unidades / R$ 0,00 a unidade*</v>
      </c>
      <c r="BC30" s="81"/>
    </row>
    <row r="31" spans="2:55" x14ac:dyDescent="0.25">
      <c r="B31" s="86"/>
      <c r="BA31" s="80"/>
      <c r="BB31" t="str">
        <f>'Tiragem - 4'!$U$13</f>
        <v>3x R$ 0,00 / Total: R$ 0,00</v>
      </c>
      <c r="BC31" s="81"/>
    </row>
    <row r="32" spans="2:55" x14ac:dyDescent="0.25">
      <c r="B32" s="86"/>
      <c r="BA32" s="82"/>
      <c r="BB32" s="85"/>
      <c r="BC32" s="84"/>
    </row>
    <row r="33" spans="2:55" x14ac:dyDescent="0.25">
      <c r="B33" s="86"/>
      <c r="Q33" s="57"/>
      <c r="R33" s="57"/>
    </row>
    <row r="34" spans="2:55" ht="15.75" x14ac:dyDescent="0.25">
      <c r="B34" s="86"/>
      <c r="Q34" s="57"/>
      <c r="R34" s="57"/>
      <c r="BA34" s="133" t="s">
        <v>57</v>
      </c>
      <c r="BB34" s="134"/>
      <c r="BC34" s="135"/>
    </row>
    <row r="35" spans="2:55" x14ac:dyDescent="0.25">
      <c r="B35" s="86"/>
      <c r="Q35" s="57"/>
      <c r="R35" s="57"/>
      <c r="BA35" s="82"/>
      <c r="BB35" s="89" t="str">
        <f>_xlfn.XLOOKUP('Tiragem - 1'!B3,[2]Papel!$B$4:$B$500,[2]Papel!$C$4:$C$500,"Inválido",0,1)</f>
        <v>Inválido</v>
      </c>
      <c r="BC35" s="84"/>
    </row>
    <row r="36" spans="2:55" x14ac:dyDescent="0.25">
      <c r="B36" s="86"/>
    </row>
    <row r="37" spans="2:55" x14ac:dyDescent="0.25">
      <c r="B37" s="86"/>
    </row>
    <row r="38" spans="2:55" x14ac:dyDescent="0.25">
      <c r="B38" s="86"/>
    </row>
    <row r="39" spans="2:55" x14ac:dyDescent="0.25">
      <c r="B39" s="86"/>
    </row>
    <row r="40" spans="2:55" x14ac:dyDescent="0.25">
      <c r="B40" s="86"/>
    </row>
    <row r="41" spans="2:55" x14ac:dyDescent="0.25">
      <c r="B41" s="86"/>
    </row>
    <row r="42" spans="2:55" x14ac:dyDescent="0.25">
      <c r="B42" s="86"/>
    </row>
    <row r="43" spans="2:55" x14ac:dyDescent="0.25">
      <c r="B43" s="86"/>
    </row>
    <row r="44" spans="2:55" x14ac:dyDescent="0.25">
      <c r="B44" s="86"/>
    </row>
    <row r="45" spans="2:55" x14ac:dyDescent="0.25">
      <c r="B45" s="86"/>
    </row>
    <row r="46" spans="2:55" x14ac:dyDescent="0.25">
      <c r="B46" s="86"/>
    </row>
    <row r="47" spans="2:55" x14ac:dyDescent="0.25">
      <c r="B47" s="86"/>
    </row>
    <row r="48" spans="2:55" x14ac:dyDescent="0.25">
      <c r="B48" s="86"/>
    </row>
    <row r="49" spans="2:2" x14ac:dyDescent="0.25">
      <c r="B49" s="86"/>
    </row>
    <row r="50" spans="2:2" x14ac:dyDescent="0.25">
      <c r="B50" s="86"/>
    </row>
  </sheetData>
  <sheetProtection selectLockedCells="1" sort="0"/>
  <mergeCells count="3">
    <mergeCell ref="D2:E2"/>
    <mergeCell ref="BA2:BC2"/>
    <mergeCell ref="BA34:BC34"/>
  </mergeCells>
  <conditionalFormatting sqref="BB3:BB31">
    <cfRule type="containsText" dxfId="23" priority="1" operator="containsText" text="Selecione">
      <formula>NOT(ISERROR(SEARCH("Selecione",BB3)))</formula>
    </cfRule>
    <cfRule type="containsText" dxfId="22" priority="2" operator="containsText" text="Inválido">
      <formula>NOT(ISERROR(SEARCH("Inválido",BB3)))</formula>
    </cfRule>
    <cfRule type="containsText" dxfId="21" priority="3" operator="containsText" text="Não se aplica">
      <formula>NOT(ISERROR(SEARCH("Não se aplica",BB3)))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2EF4-59E4-489A-B8EA-02E400E89598}">
  <sheetPr codeName="Planilha7"/>
  <dimension ref="B1:N100"/>
  <sheetViews>
    <sheetView zoomScale="160" zoomScaleNormal="160" workbookViewId="0">
      <selection sqref="A1:K1048576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27" t="s">
        <v>101</v>
      </c>
      <c r="I2" s="127"/>
      <c r="J2" s="128" t="str">
        <f>IF(Especificações!E4=0,"",Especificações!E4)</f>
        <v/>
      </c>
      <c r="K2" s="128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29" t="s">
        <v>47</v>
      </c>
      <c r="D4" s="129"/>
      <c r="E4" s="118">
        <f ca="1">TODAY()</f>
        <v>45032</v>
      </c>
      <c r="F4" s="118"/>
      <c r="G4" s="118"/>
      <c r="H4" s="118"/>
      <c r="I4" s="118"/>
      <c r="J4" s="118"/>
      <c r="K4" s="118"/>
      <c r="L4" s="118"/>
      <c r="M4" s="118"/>
      <c r="N4" s="118"/>
    </row>
    <row r="5" spans="2:14" s="59" customFormat="1" x14ac:dyDescent="0.25">
      <c r="C5" s="78"/>
      <c r="D5" s="61"/>
      <c r="E5" s="61"/>
    </row>
    <row r="6" spans="2:14" x14ac:dyDescent="0.25">
      <c r="C6" s="77" t="s">
        <v>102</v>
      </c>
      <c r="D6" s="117" t="str">
        <f>IF(Especificações!C7=0,"",Especificações!C7)</f>
        <v/>
      </c>
      <c r="E6" s="117"/>
      <c r="F6" s="117"/>
      <c r="G6" s="117"/>
      <c r="H6" s="117"/>
      <c r="I6" s="117"/>
      <c r="J6" s="117"/>
      <c r="K6" s="117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103</v>
      </c>
      <c r="D8" s="117" t="str">
        <f>IF(Especificações!C10=0,"",Especificações!C10)</f>
        <v/>
      </c>
      <c r="E8" s="117"/>
      <c r="F8" s="117"/>
      <c r="G8" s="117"/>
      <c r="H8" s="117"/>
      <c r="I8" s="117"/>
      <c r="J8" s="117"/>
      <c r="K8" s="117"/>
    </row>
    <row r="9" spans="2:14" ht="7.5" customHeight="1" x14ac:dyDescent="0.25">
      <c r="C9" s="78"/>
      <c r="D9" s="60"/>
      <c r="E9" s="61"/>
    </row>
    <row r="10" spans="2:14" x14ac:dyDescent="0.25">
      <c r="C10" s="77" t="s">
        <v>104</v>
      </c>
      <c r="D10" s="117" t="str">
        <f>IF(Especificações!D12=0,"",Especificações!D12)</f>
        <v/>
      </c>
      <c r="E10" s="117"/>
      <c r="F10" s="117"/>
      <c r="G10" s="117"/>
      <c r="H10" s="117"/>
      <c r="I10" s="117"/>
      <c r="J10" s="117"/>
      <c r="K10" s="117"/>
    </row>
    <row r="11" spans="2:14" ht="6" customHeight="1" x14ac:dyDescent="0.25">
      <c r="C11" s="77"/>
      <c r="E11"/>
    </row>
    <row r="12" spans="2:14" ht="15" customHeight="1" x14ac:dyDescent="0.25">
      <c r="C12" s="77" t="s">
        <v>105</v>
      </c>
      <c r="D12" s="117" t="str">
        <f>IF(Especificações!D14=0,"",Especificações!D14)</f>
        <v/>
      </c>
      <c r="E12" s="117"/>
      <c r="F12" s="117"/>
      <c r="G12" s="117"/>
      <c r="H12" s="117"/>
      <c r="I12" s="117"/>
      <c r="J12" s="117"/>
      <c r="K12" s="117"/>
    </row>
    <row r="13" spans="2:14" ht="7.5" customHeight="1" x14ac:dyDescent="0.25">
      <c r="E13"/>
    </row>
    <row r="14" spans="2:14" ht="15.75" customHeight="1" x14ac:dyDescent="0.25">
      <c r="B14" s="130" t="str">
        <f>IF(Especificações!S4=0,"",Especificações!S4)</f>
        <v>Nome do Material</v>
      </c>
      <c r="C14" s="130"/>
      <c r="D14" s="130"/>
      <c r="E14" s="130"/>
      <c r="F14" s="130"/>
      <c r="G14" s="130"/>
      <c r="H14" s="130"/>
      <c r="I14" s="130"/>
      <c r="J14" s="130"/>
      <c r="K14" s="130"/>
    </row>
    <row r="15" spans="2:14" ht="15" customHeight="1" x14ac:dyDescent="0.25">
      <c r="B15" s="130"/>
      <c r="C15" s="130"/>
      <c r="D15" s="130"/>
      <c r="E15" s="130"/>
      <c r="F15" s="130"/>
      <c r="G15" s="130"/>
      <c r="H15" s="130"/>
      <c r="I15" s="130"/>
      <c r="J15" s="130"/>
      <c r="K15" s="130"/>
    </row>
    <row r="16" spans="2:14" ht="6" customHeight="1" x14ac:dyDescent="0.25">
      <c r="E16"/>
      <c r="F16"/>
      <c r="G16"/>
      <c r="H16"/>
    </row>
    <row r="17" spans="2:11" x14ac:dyDescent="0.25">
      <c r="B17" s="117" t="str">
        <f>IF(Especificações!S5=0,"",Especificações!S5)</f>
        <v xml:space="preserve">Tamanho: </v>
      </c>
      <c r="C17" s="117"/>
      <c r="D17" s="117"/>
      <c r="E17" s="117"/>
      <c r="F17" s="117"/>
      <c r="G17" s="117" t="str">
        <f>IF(Especificações!S12=0,"",Especificações!S12)</f>
        <v>Acabamento / Complemento 1</v>
      </c>
      <c r="H17" s="117"/>
      <c r="I17" s="117"/>
      <c r="J17" s="117"/>
      <c r="K17" s="117"/>
    </row>
    <row r="18" spans="2:11" x14ac:dyDescent="0.25">
      <c r="B18" s="117" t="str">
        <f>IF(Especificações!S6=0,"",Especificações!S6)</f>
        <v>Largura: cm</v>
      </c>
      <c r="C18" s="117"/>
      <c r="D18" s="117"/>
      <c r="E18" s="117"/>
      <c r="F18" s="117"/>
      <c r="G18" s="117" t="str">
        <f>IF(Especificações!S13=0,"",Especificações!S13)</f>
        <v>Acabamento / Complemento 2</v>
      </c>
      <c r="H18" s="117"/>
      <c r="I18" s="117"/>
      <c r="J18" s="117"/>
      <c r="K18" s="117"/>
    </row>
    <row r="19" spans="2:11" x14ac:dyDescent="0.25">
      <c r="B19" s="117" t="str">
        <f>IF(Especificações!S7=0,"",Especificações!S7)</f>
        <v>Profundidade: cm</v>
      </c>
      <c r="C19" s="117"/>
      <c r="D19" s="117"/>
      <c r="E19" s="117"/>
      <c r="F19" s="117"/>
      <c r="G19" s="117" t="str">
        <f>IF(Especificações!S14=0,"",Especificações!S14)</f>
        <v>Acabamento / Complemento 3</v>
      </c>
      <c r="H19" s="117"/>
      <c r="I19" s="117"/>
      <c r="J19" s="117"/>
      <c r="K19" s="117"/>
    </row>
    <row r="20" spans="2:11" x14ac:dyDescent="0.25">
      <c r="B20" s="117" t="str">
        <f>IF(Especificações!S8=0,"",Especificações!S8)</f>
        <v>Altura: cm</v>
      </c>
      <c r="C20" s="117"/>
      <c r="D20" s="117"/>
      <c r="E20" s="117"/>
      <c r="F20" s="117"/>
      <c r="G20" s="117" t="str">
        <f>IF(Especificações!S15=0,"",Especificações!S15)</f>
        <v>Acabamento / Complemento 4</v>
      </c>
      <c r="H20" s="117"/>
      <c r="I20" s="117"/>
      <c r="J20" s="117"/>
      <c r="K20" s="117"/>
    </row>
    <row r="21" spans="2:11" x14ac:dyDescent="0.25">
      <c r="B21" s="117" t="str">
        <f>IF(Especificações!S9=0,"",Especificações!S9)</f>
        <v>Selecione</v>
      </c>
      <c r="C21" s="117"/>
      <c r="D21" s="117"/>
      <c r="E21" s="117"/>
      <c r="F21" s="117"/>
      <c r="G21" s="117" t="str">
        <f>IF(Especificações!S16=0,"",Especificações!S16)</f>
        <v>Acabamento / Complemento 5</v>
      </c>
      <c r="H21" s="117"/>
      <c r="I21" s="117"/>
      <c r="J21" s="117"/>
      <c r="K21" s="117"/>
    </row>
    <row r="22" spans="2:11" x14ac:dyDescent="0.25">
      <c r="B22" s="117" t="str">
        <f>IF(Especificações!S10=0,"",Especificações!S10)</f>
        <v>Papel: Inválido</v>
      </c>
      <c r="C22" s="117"/>
      <c r="D22" s="117"/>
      <c r="E22" s="117"/>
      <c r="F22" s="117"/>
      <c r="G22" s="117" t="str">
        <f>IF(Especificações!S17=0,"",Especificações!S17)</f>
        <v>Acabamento / Complemento 6</v>
      </c>
      <c r="H22" s="117"/>
      <c r="I22" s="117"/>
      <c r="J22" s="117"/>
      <c r="K22" s="117"/>
    </row>
    <row r="23" spans="2:11" x14ac:dyDescent="0.25">
      <c r="B23" s="117" t="str">
        <f>IF(Especificações!S11=0,"",Especificações!S11)</f>
        <v xml:space="preserve">Impressão: </v>
      </c>
      <c r="C23" s="117"/>
      <c r="D23" s="117"/>
      <c r="E23" s="117"/>
      <c r="F23" s="117"/>
      <c r="G23" s="117"/>
      <c r="H23" s="117"/>
      <c r="I23" s="117"/>
      <c r="J23" s="117"/>
      <c r="K23" s="117"/>
    </row>
    <row r="24" spans="2:11" x14ac:dyDescent="0.25">
      <c r="E24"/>
      <c r="F24"/>
      <c r="G24"/>
      <c r="H24"/>
    </row>
    <row r="25" spans="2:11" x14ac:dyDescent="0.25">
      <c r="B25" s="126" t="s">
        <v>24</v>
      </c>
      <c r="C25" s="126"/>
      <c r="D25" s="126"/>
      <c r="E25" s="126"/>
      <c r="F25" s="126"/>
      <c r="G25" s="126"/>
      <c r="H25" s="126"/>
      <c r="I25" s="126"/>
      <c r="J25" s="126"/>
      <c r="K25" s="126"/>
    </row>
    <row r="26" spans="2:11" x14ac:dyDescent="0.25">
      <c r="B26" s="126" t="s">
        <v>25</v>
      </c>
      <c r="C26" s="126"/>
      <c r="D26" s="126"/>
      <c r="E26" s="126"/>
      <c r="F26" s="126"/>
      <c r="G26" s="126"/>
      <c r="H26" s="126"/>
      <c r="I26" s="126"/>
      <c r="J26" s="126"/>
      <c r="K26" s="126"/>
    </row>
    <row r="27" spans="2:11" x14ac:dyDescent="0.25">
      <c r="E27"/>
      <c r="F27"/>
      <c r="G27"/>
      <c r="H27"/>
    </row>
    <row r="28" spans="2:11" x14ac:dyDescent="0.25">
      <c r="C28" s="124" t="s">
        <v>1</v>
      </c>
      <c r="D28" s="124"/>
      <c r="E28" s="124" t="s">
        <v>9</v>
      </c>
      <c r="F28" s="124"/>
      <c r="G28" s="124" t="s">
        <v>18</v>
      </c>
      <c r="H28" s="124"/>
      <c r="I28" s="124" t="s">
        <v>20</v>
      </c>
      <c r="J28" s="124"/>
    </row>
    <row r="29" spans="2:11" x14ac:dyDescent="0.25">
      <c r="C29" s="124">
        <f>'Tiragem - 1'!$L$16</f>
        <v>250</v>
      </c>
      <c r="D29" s="124"/>
      <c r="E29" s="125">
        <f>'Tiragem - 1'!$L$22</f>
        <v>0</v>
      </c>
      <c r="F29" s="125"/>
      <c r="G29" s="38" t="s">
        <v>48</v>
      </c>
      <c r="H29" s="69">
        <f>'Tiragem - 1'!$L$20</f>
        <v>0</v>
      </c>
      <c r="I29" s="125">
        <f>'Tiragem - 1'!$L$21</f>
        <v>0</v>
      </c>
      <c r="J29" s="125"/>
    </row>
    <row r="30" spans="2:11" x14ac:dyDescent="0.25">
      <c r="C30" s="124">
        <f>'Tiragem - 2'!$L$16</f>
        <v>500</v>
      </c>
      <c r="D30" s="124"/>
      <c r="E30" s="125">
        <f>'Tiragem - 2'!$L$22</f>
        <v>0</v>
      </c>
      <c r="F30" s="125"/>
      <c r="G30" s="38" t="s">
        <v>48</v>
      </c>
      <c r="H30" s="69">
        <f>'Tiragem - 2'!$L$20</f>
        <v>0</v>
      </c>
      <c r="I30" s="125">
        <f>'Tiragem - 2'!$L$21</f>
        <v>0</v>
      </c>
      <c r="J30" s="125"/>
    </row>
    <row r="31" spans="2:11" x14ac:dyDescent="0.25">
      <c r="C31" s="124">
        <f>'Tiragem - 3'!$L$16</f>
        <v>1000</v>
      </c>
      <c r="D31" s="124"/>
      <c r="E31" s="125">
        <f>'Tiragem - 3'!$L$22</f>
        <v>0</v>
      </c>
      <c r="F31" s="125"/>
      <c r="G31" s="38" t="s">
        <v>48</v>
      </c>
      <c r="H31" s="69">
        <f>'Tiragem - 3'!$L$20</f>
        <v>0</v>
      </c>
      <c r="I31" s="125">
        <f>'Tiragem - 3'!$L$21</f>
        <v>0</v>
      </c>
      <c r="J31" s="125"/>
    </row>
    <row r="32" spans="2:11" x14ac:dyDescent="0.25">
      <c r="C32" s="124">
        <f>'Tiragem - 4'!$L$16</f>
        <v>2000</v>
      </c>
      <c r="D32" s="124"/>
      <c r="E32" s="125">
        <f>'Tiragem - 4'!$L$22</f>
        <v>0</v>
      </c>
      <c r="F32" s="125"/>
      <c r="G32" s="38" t="s">
        <v>48</v>
      </c>
      <c r="H32" s="69">
        <f>'Tiragem - 4'!$L$20</f>
        <v>0</v>
      </c>
      <c r="I32" s="125">
        <f>'Tiragem - 4'!$L$21</f>
        <v>0</v>
      </c>
      <c r="J32" s="125"/>
    </row>
    <row r="33" spans="2:11" x14ac:dyDescent="0.25">
      <c r="E33" s="57"/>
      <c r="F33" s="57"/>
      <c r="G33" s="57"/>
      <c r="H33" s="57"/>
    </row>
    <row r="34" spans="2:11" x14ac:dyDescent="0.25">
      <c r="B34" s="123" t="s">
        <v>46</v>
      </c>
      <c r="C34" s="123"/>
      <c r="D34" s="123"/>
      <c r="E34" s="123"/>
      <c r="F34" s="123"/>
      <c r="G34" s="123"/>
      <c r="H34" s="123"/>
      <c r="I34" s="123"/>
      <c r="J34" s="123"/>
      <c r="K34" s="123"/>
    </row>
    <row r="35" spans="2:11" x14ac:dyDescent="0.25">
      <c r="E35" s="57"/>
      <c r="F35" s="57"/>
      <c r="G35" s="57"/>
      <c r="H35" s="57"/>
    </row>
    <row r="36" spans="2:11" x14ac:dyDescent="0.25">
      <c r="C36" s="124" t="s">
        <v>1</v>
      </c>
      <c r="D36" s="124"/>
      <c r="E36" s="124" t="s">
        <v>9</v>
      </c>
      <c r="F36" s="124"/>
      <c r="G36" s="124" t="s">
        <v>18</v>
      </c>
      <c r="H36" s="124"/>
      <c r="I36" s="124" t="s">
        <v>20</v>
      </c>
      <c r="J36" s="124"/>
    </row>
    <row r="37" spans="2:11" x14ac:dyDescent="0.25">
      <c r="C37" s="119">
        <f>'Tiragem - 1'!$L$16</f>
        <v>250</v>
      </c>
      <c r="D37" s="120"/>
      <c r="E37" s="121">
        <f>'Tiragem - 1'!$L$26</f>
        <v>0</v>
      </c>
      <c r="F37" s="122"/>
      <c r="G37" s="70" t="str">
        <f>'Tiragem - 1'!$L$29&amp;"x"</f>
        <v>3x</v>
      </c>
      <c r="H37" s="69">
        <f>'Tiragem - 1'!$L$24</f>
        <v>0</v>
      </c>
      <c r="I37" s="121">
        <f>'Tiragem - 1'!$L$25</f>
        <v>0</v>
      </c>
      <c r="J37" s="122"/>
    </row>
    <row r="38" spans="2:11" x14ac:dyDescent="0.25">
      <c r="C38" s="119">
        <f>'Tiragem - 2'!$L$16</f>
        <v>500</v>
      </c>
      <c r="D38" s="120"/>
      <c r="E38" s="121">
        <f>'Tiragem - 2'!$L$26</f>
        <v>0</v>
      </c>
      <c r="F38" s="122"/>
      <c r="G38" s="70" t="str">
        <f>'Tiragem - 2'!$L$29&amp;"x"</f>
        <v>3x</v>
      </c>
      <c r="H38" s="69">
        <f>'Tiragem - 2'!$L$24</f>
        <v>0</v>
      </c>
      <c r="I38" s="121">
        <f>'Tiragem - 2'!$L$25</f>
        <v>0</v>
      </c>
      <c r="J38" s="122"/>
    </row>
    <row r="39" spans="2:11" x14ac:dyDescent="0.25">
      <c r="C39" s="119">
        <f>'Tiragem - 3'!$L$16</f>
        <v>1000</v>
      </c>
      <c r="D39" s="120"/>
      <c r="E39" s="121">
        <f>'Tiragem - 3'!$L$26</f>
        <v>0</v>
      </c>
      <c r="F39" s="122"/>
      <c r="G39" s="70" t="str">
        <f>'Tiragem - 3'!$L$29&amp;"x"</f>
        <v>3x</v>
      </c>
      <c r="H39" s="69">
        <f>'Tiragem - 3'!$L$24</f>
        <v>0</v>
      </c>
      <c r="I39" s="121">
        <f>'Tiragem - 3'!$L$25</f>
        <v>0</v>
      </c>
      <c r="J39" s="122"/>
    </row>
    <row r="40" spans="2:11" x14ac:dyDescent="0.25">
      <c r="C40" s="119">
        <f>'Tiragem - 4'!$L$16</f>
        <v>2000</v>
      </c>
      <c r="D40" s="120"/>
      <c r="E40" s="121">
        <f>'Tiragem - 4'!$L$26</f>
        <v>0</v>
      </c>
      <c r="F40" s="122"/>
      <c r="G40" s="70" t="str">
        <f>'Tiragem - 4'!$L$29&amp;"x"</f>
        <v>3x</v>
      </c>
      <c r="H40" s="69">
        <f>'Tiragem - 4'!$L$24</f>
        <v>0</v>
      </c>
      <c r="I40" s="121">
        <f>'Tiragem - 4'!$L$25</f>
        <v>0</v>
      </c>
      <c r="J40" s="122"/>
    </row>
    <row r="41" spans="2:11" x14ac:dyDescent="0.25">
      <c r="E41"/>
    </row>
    <row r="42" spans="2:11" ht="15" customHeight="1" x14ac:dyDescent="0.25">
      <c r="C42" s="114" t="s">
        <v>51</v>
      </c>
      <c r="D42" s="114"/>
      <c r="E42" s="114"/>
      <c r="F42" s="114"/>
      <c r="G42" s="114"/>
      <c r="H42" s="114"/>
      <c r="I42" s="114"/>
      <c r="J42" s="114"/>
    </row>
    <row r="43" spans="2:11" ht="15" customHeight="1" x14ac:dyDescent="0.25">
      <c r="C43" s="114"/>
      <c r="D43" s="114"/>
      <c r="E43" s="114"/>
      <c r="F43" s="114"/>
      <c r="G43" s="114"/>
      <c r="H43" s="114"/>
      <c r="I43" s="114"/>
      <c r="J43" s="114"/>
    </row>
    <row r="44" spans="2:11" x14ac:dyDescent="0.25">
      <c r="C44" s="114"/>
      <c r="D44" s="114"/>
      <c r="E44" s="114"/>
      <c r="F44" s="114"/>
      <c r="G44" s="114"/>
      <c r="H44" s="114"/>
      <c r="I44" s="114"/>
      <c r="J44" s="114"/>
    </row>
    <row r="45" spans="2:11" x14ac:dyDescent="0.25">
      <c r="E45"/>
    </row>
    <row r="46" spans="2:11" x14ac:dyDescent="0.25">
      <c r="C46" s="115" t="s">
        <v>44</v>
      </c>
      <c r="D46" s="115"/>
      <c r="E46" s="116" t="str">
        <f>IF(Especificações!E16=0,"",Especificações!E16)</f>
        <v/>
      </c>
      <c r="F46" s="116"/>
      <c r="G46" s="116"/>
      <c r="H46" s="116"/>
      <c r="I46" s="67" t="s">
        <v>45</v>
      </c>
      <c r="J46" s="76" t="s">
        <v>87</v>
      </c>
    </row>
    <row r="47" spans="2:11" ht="5.25" customHeight="1" x14ac:dyDescent="0.25">
      <c r="E47"/>
    </row>
    <row r="48" spans="2:11" x14ac:dyDescent="0.25">
      <c r="C48" s="117" t="str">
        <f>"Previsão "&amp;Especificações!E18&amp;" dias úteis após confirmação da arte e pagamento"</f>
        <v>Previsão 5 dias úteis após confirmação da arte e pagamento</v>
      </c>
      <c r="D48" s="117"/>
      <c r="E48" s="117"/>
      <c r="F48" s="117"/>
      <c r="G48" s="117"/>
      <c r="H48" s="117"/>
      <c r="I48" s="117"/>
      <c r="J48" s="117"/>
      <c r="K48" s="117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C42:J44"/>
    <mergeCell ref="C46:D46"/>
    <mergeCell ref="E46:H46"/>
    <mergeCell ref="C48:K48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  <mergeCell ref="I38:J38"/>
    <mergeCell ref="C32:D32"/>
    <mergeCell ref="E32:F32"/>
    <mergeCell ref="I32:J32"/>
    <mergeCell ref="B34:K34"/>
    <mergeCell ref="C36:D36"/>
    <mergeCell ref="E36:F36"/>
    <mergeCell ref="G36:H36"/>
    <mergeCell ref="I36:J36"/>
    <mergeCell ref="C30:D30"/>
    <mergeCell ref="E30:F30"/>
    <mergeCell ref="I30:J30"/>
    <mergeCell ref="C31:D31"/>
    <mergeCell ref="E31:F31"/>
    <mergeCell ref="I31:J31"/>
    <mergeCell ref="B20:F20"/>
    <mergeCell ref="G20:K20"/>
    <mergeCell ref="C29:D29"/>
    <mergeCell ref="E29:F29"/>
    <mergeCell ref="I29:J29"/>
    <mergeCell ref="B21:F21"/>
    <mergeCell ref="G21:K21"/>
    <mergeCell ref="B22:F22"/>
    <mergeCell ref="G22:K22"/>
    <mergeCell ref="B23:K23"/>
    <mergeCell ref="B25:K25"/>
    <mergeCell ref="B26:K26"/>
    <mergeCell ref="C28:D28"/>
    <mergeCell ref="E28:F28"/>
    <mergeCell ref="G28:H28"/>
    <mergeCell ref="I28:J28"/>
    <mergeCell ref="B17:F17"/>
    <mergeCell ref="G17:K17"/>
    <mergeCell ref="B18:F18"/>
    <mergeCell ref="G18:K18"/>
    <mergeCell ref="B19:F19"/>
    <mergeCell ref="G19:K19"/>
    <mergeCell ref="D8:K8"/>
    <mergeCell ref="D10:K10"/>
    <mergeCell ref="D12:K12"/>
    <mergeCell ref="B14:K15"/>
    <mergeCell ref="D6:K6"/>
    <mergeCell ref="H2:I2"/>
    <mergeCell ref="J2:K2"/>
    <mergeCell ref="C4:D4"/>
    <mergeCell ref="E4:K4"/>
    <mergeCell ref="L4:N4"/>
  </mergeCells>
  <dataValidations count="6">
    <dataValidation allowBlank="1" showInputMessage="1" showErrorMessage="1" prompt="Insira a Economia mensal nesta planilha" sqref="C2:C3" xr:uid="{A6BA280F-E718-4513-B04E-E365A94B6A39}"/>
    <dataValidation allowBlank="1" showInputMessage="1" showErrorMessage="1" prompt="O título é atualizado automaticamente nesta célula" sqref="D2:D3" xr:uid="{1ED4E5B3-81C1-4C29-9548-719C4E5330F8}"/>
    <dataValidation allowBlank="1" showInputMessage="1" showErrorMessage="1" prompt="Insira as Economias mensais na tabela abaixo" sqref="L4" xr:uid="{71E31131-EB8F-4437-94FB-BC31B1D39D7A}"/>
    <dataValidation allowBlank="1" showErrorMessage="1" prompt="Insira as Economias mensais na tabela abaixo" sqref="E4:K4" xr:uid="{71B50210-F961-427B-9297-7D291A4060BC}"/>
    <dataValidation allowBlank="1" showInputMessage="1" showErrorMessage="1" prompt="Insira a Data do depósito da poupança nesta coluna sob este cabeçalho. Use filtros de cabeçalho para encontrar entradas específicas" sqref="D5" xr:uid="{593CCFE3-BB8F-41DB-9DE9-917FF06A9EB5}"/>
    <dataValidation allowBlank="1" showInputMessage="1" showErrorMessage="1" prompt="Insira o Valor nesta coluna sob este cabeçalho" sqref="E5" xr:uid="{0566A407-8E94-49D2-A192-832EE184B698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Tiragem - 1</vt:lpstr>
      <vt:lpstr>Tiragem - 2</vt:lpstr>
      <vt:lpstr>Tiragem - 3</vt:lpstr>
      <vt:lpstr>Tiragem - 4</vt:lpstr>
      <vt:lpstr>Especificações</vt:lpstr>
      <vt:lpstr>PDF</vt:lpstr>
      <vt:lpstr>Dados</vt:lpstr>
      <vt:lpstr>PDF - Backup</vt:lpstr>
      <vt:lpstr>PDF!Area_de_impressao</vt:lpstr>
      <vt:lpstr>'PDF - Backup'!Area_de_impressao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iguatimozy dias</dc:creator>
  <cp:keywords/>
  <dc:description/>
  <cp:lastModifiedBy>Neuber Queiroz</cp:lastModifiedBy>
  <cp:revision/>
  <cp:lastPrinted>2023-04-14T16:40:27Z</cp:lastPrinted>
  <dcterms:created xsi:type="dcterms:W3CDTF">2019-07-14T11:59:43Z</dcterms:created>
  <dcterms:modified xsi:type="dcterms:W3CDTF">2023-04-16T06:43:37Z</dcterms:modified>
  <cp:category/>
  <cp:contentStatus/>
</cp:coreProperties>
</file>