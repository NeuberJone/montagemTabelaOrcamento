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fe0e514768444a3/Projetos/Orçamento CMYK25/Macros/"/>
    </mc:Choice>
  </mc:AlternateContent>
  <xr:revisionPtr revIDLastSave="19588" documentId="13_ncr:1_{CF603599-A831-4D65-AE46-7ED6F4D669E9}" xr6:coauthVersionLast="47" xr6:coauthVersionMax="47" xr10:uidLastSave="{D725CAAA-1EAF-4E55-BFA4-AE96147E7C47}"/>
  <bookViews>
    <workbookView xWindow="-120" yWindow="-120" windowWidth="29040" windowHeight="15720" activeTab="4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  <sheet name="PDF - Backup" sheetId="97" r:id="rId8"/>
  </sheets>
  <functionGroups builtInGroupCount="19"/>
  <externalReferences>
    <externalReference r:id="rId9"/>
    <externalReference r:id="rId10"/>
  </externalReferences>
  <definedNames>
    <definedName name="_xlnm.Print_Area" localSheetId="5">PDF!$A$1:$K$49</definedName>
    <definedName name="_xlnm.Print_Area" localSheetId="7">'PDF - Backup'!$A$1:$K$49</definedName>
    <definedName name="Clichê" localSheetId="7">[1]!SelecionaCliche</definedName>
    <definedName name="Clichê">[1]!SelecionaCliche</definedName>
    <definedName name="DefineAcabamento" localSheetId="7">[1]!SelecionarAcabamento</definedName>
    <definedName name="DefineAcabamento">[1]!SelecionarAcabamento</definedName>
    <definedName name="DefineExtra" localSheetId="7">[1]!SelecionarExtra</definedName>
    <definedName name="DefineExtra">[1]!SelecionarExtra</definedName>
    <definedName name="DefineMilheiro" localSheetId="7">[1]!SelecionarMilheiro</definedName>
    <definedName name="DefineMilheiro">[1]!SelecionarMilheiro</definedName>
    <definedName name="Formato" localSheetId="7">[1]!SelecionarFormato</definedName>
    <definedName name="Formato">[1]!SelecionarFormato</definedName>
    <definedName name="PapelTipo" localSheetId="7">[1]!SelecionarPapel</definedName>
    <definedName name="PapelTipo">[1]!SelecionarPapel</definedName>
    <definedName name="PrimeiroEquipamento" localSheetId="7">[1]!SelecionarEquipamento1</definedName>
    <definedName name="PrimeiroEquipamento">[1]!SelecionarEquipamento1</definedName>
    <definedName name="SegundoEquipamento" localSheetId="7">[1]!SelecionarEquipamento2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87" l="1"/>
  <c r="S7" i="87"/>
  <c r="O10" i="87"/>
  <c r="S5" i="87" s="1"/>
  <c r="N16" i="87"/>
  <c r="O12" i="87"/>
  <c r="N12" i="87"/>
  <c r="M7" i="87"/>
  <c r="S10" i="87" s="1"/>
  <c r="S17" i="87"/>
  <c r="G22" i="97" s="1"/>
  <c r="S16" i="87"/>
  <c r="G21" i="97" s="1"/>
  <c r="S15" i="87"/>
  <c r="G20" i="97" s="1"/>
  <c r="S14" i="87"/>
  <c r="G19" i="97" s="1"/>
  <c r="S13" i="87"/>
  <c r="G18" i="97" s="1"/>
  <c r="S12" i="87"/>
  <c r="G17" i="97" s="1"/>
  <c r="S11" i="87"/>
  <c r="B23" i="97" s="1"/>
  <c r="S9" i="87"/>
  <c r="B21" i="97" s="1"/>
  <c r="S6" i="87"/>
  <c r="B18" i="97" s="1"/>
  <c r="S4" i="87"/>
  <c r="B14" i="97" s="1"/>
  <c r="C48" i="97"/>
  <c r="E46" i="97"/>
  <c r="G40" i="97"/>
  <c r="C40" i="97"/>
  <c r="G39" i="97"/>
  <c r="C39" i="97"/>
  <c r="G38" i="97"/>
  <c r="C38" i="97"/>
  <c r="G37" i="97"/>
  <c r="C37" i="97"/>
  <c r="C32" i="97"/>
  <c r="C31" i="97"/>
  <c r="C30" i="97"/>
  <c r="C29" i="97"/>
  <c r="D12" i="97"/>
  <c r="D10" i="97"/>
  <c r="D8" i="97"/>
  <c r="D6" i="97"/>
  <c r="E4" i="97"/>
  <c r="J2" i="97"/>
  <c r="P35" i="96"/>
  <c r="R35" i="96" s="1" a="1"/>
  <c r="R35" i="96" s="1"/>
  <c r="P34" i="96"/>
  <c r="S34" i="96" s="1" a="1"/>
  <c r="S34" i="96" s="1"/>
  <c r="P33" i="96"/>
  <c r="S33" i="96" s="1" a="1"/>
  <c r="S33" i="96" s="1"/>
  <c r="P32" i="96"/>
  <c r="R32" i="96" s="1" a="1"/>
  <c r="R32" i="96" s="1"/>
  <c r="P31" i="96"/>
  <c r="R31" i="96" s="1" a="1"/>
  <c r="R31" i="96" s="1"/>
  <c r="P30" i="96"/>
  <c r="S30" i="96" s="1" a="1"/>
  <c r="S30" i="96" s="1"/>
  <c r="P29" i="96"/>
  <c r="R29" i="96" s="1" a="1"/>
  <c r="R29" i="96" s="1"/>
  <c r="P28" i="96"/>
  <c r="R28" i="96" s="1" a="1"/>
  <c r="R28" i="96" s="1"/>
  <c r="P27" i="96"/>
  <c r="S27" i="96" s="1" a="1"/>
  <c r="S27" i="96" s="1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I14" i="96"/>
  <c r="I13" i="96"/>
  <c r="I12" i="96"/>
  <c r="I11" i="96"/>
  <c r="I10" i="96"/>
  <c r="J7" i="96"/>
  <c r="H7" i="96"/>
  <c r="E7" i="96"/>
  <c r="F7" i="96" s="1"/>
  <c r="J6" i="96"/>
  <c r="H6" i="96"/>
  <c r="E6" i="96"/>
  <c r="F6" i="96" s="1"/>
  <c r="J5" i="96"/>
  <c r="H5" i="96"/>
  <c r="E5" i="96"/>
  <c r="F5" i="96" s="1"/>
  <c r="J4" i="96"/>
  <c r="H4" i="96"/>
  <c r="E4" i="96"/>
  <c r="F4" i="96" s="1"/>
  <c r="J3" i="96"/>
  <c r="H3" i="96"/>
  <c r="E3" i="96"/>
  <c r="F3" i="96" s="1"/>
  <c r="S31" i="88" a="1"/>
  <c r="S31" i="88" s="1"/>
  <c r="P35" i="88"/>
  <c r="S35" i="88" s="1" a="1"/>
  <c r="S35" i="88" s="1"/>
  <c r="P34" i="88"/>
  <c r="R34" i="88" s="1" a="1"/>
  <c r="R34" i="88" s="1"/>
  <c r="P33" i="88"/>
  <c r="S33" i="88" s="1" a="1"/>
  <c r="S33" i="88" s="1"/>
  <c r="P32" i="88"/>
  <c r="S32" i="88" s="1" a="1"/>
  <c r="S32" i="88" s="1"/>
  <c r="P31" i="88"/>
  <c r="R31" i="88" s="1" a="1"/>
  <c r="R31" i="88" s="1"/>
  <c r="P30" i="88"/>
  <c r="S30" i="88" s="1" a="1"/>
  <c r="S30" i="88" s="1"/>
  <c r="P29" i="88"/>
  <c r="S29" i="88" s="1" a="1"/>
  <c r="S29" i="88" s="1"/>
  <c r="P28" i="88"/>
  <c r="S28" i="88" s="1" a="1"/>
  <c r="S28" i="88" s="1"/>
  <c r="P27" i="88"/>
  <c r="S27" i="88" s="1" a="1"/>
  <c r="S27" i="88" s="1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I14" i="88"/>
  <c r="I13" i="88"/>
  <c r="I12" i="88"/>
  <c r="I11" i="88"/>
  <c r="I10" i="88"/>
  <c r="J7" i="88"/>
  <c r="H7" i="88"/>
  <c r="F7" i="88"/>
  <c r="E7" i="88"/>
  <c r="J6" i="88"/>
  <c r="H6" i="88"/>
  <c r="E6" i="88"/>
  <c r="F6" i="88" s="1"/>
  <c r="J5" i="88"/>
  <c r="H5" i="88"/>
  <c r="E5" i="88"/>
  <c r="F5" i="88" s="1"/>
  <c r="J4" i="88"/>
  <c r="H4" i="88"/>
  <c r="E4" i="88"/>
  <c r="F4" i="88" s="1"/>
  <c r="J3" i="88"/>
  <c r="H3" i="88"/>
  <c r="F3" i="88"/>
  <c r="E3" i="88"/>
  <c r="S35" i="89" a="1"/>
  <c r="S35" i="89" s="1"/>
  <c r="S30" i="89" a="1"/>
  <c r="S30" i="89" s="1"/>
  <c r="P35" i="89"/>
  <c r="R35" i="89" s="1" a="1"/>
  <c r="R35" i="89" s="1"/>
  <c r="P34" i="89"/>
  <c r="S34" i="89" s="1" a="1"/>
  <c r="S34" i="89" s="1"/>
  <c r="P33" i="89"/>
  <c r="S33" i="89" s="1" a="1"/>
  <c r="S33" i="89" s="1"/>
  <c r="P32" i="89"/>
  <c r="S32" i="89" s="1" a="1"/>
  <c r="S32" i="89" s="1"/>
  <c r="P31" i="89"/>
  <c r="R31" i="89" s="1" a="1"/>
  <c r="R31" i="89" s="1"/>
  <c r="P30" i="89"/>
  <c r="R30" i="89" s="1" a="1"/>
  <c r="R30" i="89" s="1"/>
  <c r="P29" i="89"/>
  <c r="S29" i="89" s="1" a="1"/>
  <c r="S29" i="89" s="1"/>
  <c r="P28" i="89"/>
  <c r="S28" i="89" s="1" a="1"/>
  <c r="S28" i="89" s="1"/>
  <c r="P27" i="89"/>
  <c r="R27" i="89" s="1" a="1"/>
  <c r="R27" i="89" s="1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I14" i="89"/>
  <c r="I13" i="89"/>
  <c r="I12" i="89"/>
  <c r="I11" i="89"/>
  <c r="I10" i="89"/>
  <c r="J7" i="89"/>
  <c r="H7" i="89"/>
  <c r="F7" i="89"/>
  <c r="E7" i="89"/>
  <c r="J6" i="89"/>
  <c r="H6" i="89"/>
  <c r="E6" i="89"/>
  <c r="F6" i="89" s="1"/>
  <c r="J5" i="89"/>
  <c r="H5" i="89"/>
  <c r="E5" i="89"/>
  <c r="F5" i="89" s="1"/>
  <c r="J4" i="89"/>
  <c r="H4" i="89"/>
  <c r="E4" i="89"/>
  <c r="F4" i="89" s="1"/>
  <c r="J3" i="89"/>
  <c r="H3" i="89"/>
  <c r="E3" i="89"/>
  <c r="F3" i="89" s="1"/>
  <c r="R35" i="86" a="1"/>
  <c r="R35" i="86" s="1"/>
  <c r="S33" i="86" a="1"/>
  <c r="S33" i="86" s="1"/>
  <c r="P35" i="86"/>
  <c r="S35" i="86" s="1" a="1"/>
  <c r="S35" i="86" s="1"/>
  <c r="P34" i="86"/>
  <c r="R34" i="86" s="1" a="1"/>
  <c r="R34" i="86" s="1"/>
  <c r="P33" i="86"/>
  <c r="R33" i="86" s="1" a="1"/>
  <c r="R33" i="86" s="1"/>
  <c r="P32" i="86"/>
  <c r="S32" i="86" s="1" a="1"/>
  <c r="S32" i="86" s="1"/>
  <c r="P31" i="86"/>
  <c r="S31" i="86" s="1" a="1"/>
  <c r="S31" i="86" s="1"/>
  <c r="P30" i="86"/>
  <c r="S30" i="86" s="1" a="1"/>
  <c r="S30" i="86" s="1"/>
  <c r="P29" i="86"/>
  <c r="R29" i="86" s="1" a="1"/>
  <c r="R29" i="86" s="1"/>
  <c r="P28" i="86"/>
  <c r="R28" i="86" s="1" a="1"/>
  <c r="R28" i="86" s="1"/>
  <c r="P27" i="86"/>
  <c r="R27" i="86" s="1" a="1"/>
  <c r="R27" i="86" s="1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I14" i="86"/>
  <c r="I13" i="86"/>
  <c r="I12" i="86"/>
  <c r="I11" i="86"/>
  <c r="I10" i="86"/>
  <c r="J7" i="86"/>
  <c r="H7" i="86"/>
  <c r="E7" i="86"/>
  <c r="F7" i="86" s="1"/>
  <c r="J6" i="86"/>
  <c r="H6" i="86"/>
  <c r="E6" i="86"/>
  <c r="F6" i="86" s="1"/>
  <c r="J5" i="86"/>
  <c r="H5" i="86"/>
  <c r="E5" i="86"/>
  <c r="F5" i="86" s="1"/>
  <c r="J4" i="86"/>
  <c r="H4" i="86"/>
  <c r="E4" i="86"/>
  <c r="F4" i="86" s="1"/>
  <c r="J3" i="86"/>
  <c r="H3" i="86"/>
  <c r="E3" i="86"/>
  <c r="F3" i="86" s="1"/>
  <c r="E18" i="96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R30" i="86" l="1" a="1"/>
  <c r="R30" i="86" s="1"/>
  <c r="S32" i="96" a="1"/>
  <c r="S32" i="96" s="1"/>
  <c r="R30" i="96" a="1"/>
  <c r="R30" i="96" s="1"/>
  <c r="S31" i="96" a="1"/>
  <c r="S31" i="96" s="1"/>
  <c r="S27" i="89" a="1"/>
  <c r="S27" i="89" s="1"/>
  <c r="R28" i="88" a="1"/>
  <c r="R28" i="88" s="1"/>
  <c r="R34" i="89" a="1"/>
  <c r="R34" i="89" s="1"/>
  <c r="B20" i="97"/>
  <c r="B19" i="97"/>
  <c r="B17" i="97"/>
  <c r="S29" i="96" a="1"/>
  <c r="S29" i="96" s="1"/>
  <c r="R27" i="88" a="1"/>
  <c r="R27" i="88" s="1"/>
  <c r="R28" i="89" a="1"/>
  <c r="R28" i="89" s="1"/>
  <c r="R32" i="86" a="1"/>
  <c r="R32" i="86" s="1"/>
  <c r="R32" i="88" a="1"/>
  <c r="R32" i="88" s="1"/>
  <c r="S34" i="86" a="1"/>
  <c r="S34" i="86" s="1"/>
  <c r="S28" i="96" a="1"/>
  <c r="S28" i="96" s="1"/>
  <c r="S27" i="86" a="1"/>
  <c r="S27" i="86" s="1"/>
  <c r="S34" i="88" a="1"/>
  <c r="S34" i="88" s="1"/>
  <c r="R32" i="89" a="1"/>
  <c r="R32" i="89" s="1"/>
  <c r="R34" i="96" a="1"/>
  <c r="R34" i="96" s="1"/>
  <c r="R30" i="88" a="1"/>
  <c r="R30" i="88" s="1"/>
  <c r="R35" i="88" a="1"/>
  <c r="R35" i="88" s="1"/>
  <c r="R29" i="89" a="1"/>
  <c r="R29" i="89" s="1"/>
  <c r="R33" i="89" a="1"/>
  <c r="R33" i="89" s="1"/>
  <c r="S31" i="89" a="1"/>
  <c r="S31" i="89" s="1"/>
  <c r="R27" i="96" a="1"/>
  <c r="R27" i="96" s="1"/>
  <c r="R33" i="96" a="1"/>
  <c r="R33" i="96" s="1"/>
  <c r="R31" i="86" a="1"/>
  <c r="R31" i="86" s="1"/>
  <c r="S28" i="86" a="1"/>
  <c r="S28" i="86" s="1"/>
  <c r="S29" i="86" a="1"/>
  <c r="S29" i="86" s="1"/>
  <c r="R29" i="88" a="1"/>
  <c r="R29" i="88" s="1"/>
  <c r="R33" i="88" a="1"/>
  <c r="R33" i="88" s="1"/>
  <c r="S35" i="96" a="1"/>
  <c r="S35" i="96" s="1"/>
  <c r="BB35" i="95"/>
  <c r="B22" i="9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E14" i="89" l="1"/>
  <c r="E13" i="89"/>
  <c r="E12" i="89"/>
  <c r="E11" i="89"/>
  <c r="E10" i="89"/>
  <c r="E14" i="88"/>
  <c r="E13" i="88"/>
  <c r="E12" i="88"/>
  <c r="E11" i="88"/>
  <c r="E10" i="88"/>
  <c r="E11" i="96"/>
  <c r="E12" i="96"/>
  <c r="E13" i="96"/>
  <c r="E14" i="96"/>
  <c r="E10" i="96"/>
  <c r="O35" i="89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O27" i="88"/>
  <c r="O28" i="96"/>
  <c r="O29" i="96"/>
  <c r="O30" i="96"/>
  <c r="O31" i="96"/>
  <c r="O32" i="96"/>
  <c r="O33" i="96"/>
  <c r="O34" i="96"/>
  <c r="O35" i="96"/>
  <c r="O27" i="96"/>
  <c r="C28" i="89"/>
  <c r="B28" i="89"/>
  <c r="C27" i="89"/>
  <c r="B27" i="89"/>
  <c r="C26" i="89"/>
  <c r="B26" i="89"/>
  <c r="C25" i="89"/>
  <c r="B25" i="89"/>
  <c r="K4" i="89" s="1"/>
  <c r="C24" i="89"/>
  <c r="B24" i="89"/>
  <c r="C28" i="88"/>
  <c r="B28" i="88"/>
  <c r="K7" i="88" s="1"/>
  <c r="C27" i="88"/>
  <c r="B27" i="88"/>
  <c r="C26" i="88"/>
  <c r="B26" i="88"/>
  <c r="C25" i="88"/>
  <c r="B25" i="88"/>
  <c r="K4" i="88" s="1"/>
  <c r="C24" i="88"/>
  <c r="B24" i="88"/>
  <c r="C21" i="89"/>
  <c r="B21" i="89"/>
  <c r="C20" i="89"/>
  <c r="B20" i="89"/>
  <c r="C19" i="89"/>
  <c r="B19" i="89"/>
  <c r="I5" i="89" s="1"/>
  <c r="C18" i="89"/>
  <c r="B18" i="89"/>
  <c r="I4" i="89" s="1"/>
  <c r="C17" i="89"/>
  <c r="B17" i="89"/>
  <c r="C21" i="88"/>
  <c r="B21" i="88"/>
  <c r="C20" i="88"/>
  <c r="B20" i="88"/>
  <c r="C19" i="88"/>
  <c r="B19" i="88"/>
  <c r="C18" i="88"/>
  <c r="B18" i="88"/>
  <c r="I4" i="88" s="1"/>
  <c r="C17" i="88"/>
  <c r="B17" i="88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K6" i="96" s="1"/>
  <c r="C27" i="96"/>
  <c r="B28" i="96"/>
  <c r="C28" i="96"/>
  <c r="C24" i="96"/>
  <c r="B24" i="96"/>
  <c r="C18" i="96"/>
  <c r="C19" i="96"/>
  <c r="C20" i="96"/>
  <c r="C21" i="96"/>
  <c r="C17" i="96"/>
  <c r="B18" i="96"/>
  <c r="I4" i="96" s="1"/>
  <c r="B19" i="96"/>
  <c r="B20" i="96"/>
  <c r="I6" i="96" s="1"/>
  <c r="B21" i="96"/>
  <c r="B17" i="96"/>
  <c r="B11" i="96"/>
  <c r="B12" i="96"/>
  <c r="B13" i="96"/>
  <c r="B14" i="96"/>
  <c r="B10" i="96"/>
  <c r="H35" i="96"/>
  <c r="H34" i="96"/>
  <c r="H33" i="96"/>
  <c r="H32" i="96"/>
  <c r="C32" i="96"/>
  <c r="H31" i="96"/>
  <c r="H30" i="96"/>
  <c r="H29" i="96"/>
  <c r="L28" i="96"/>
  <c r="H28" i="96"/>
  <c r="H27" i="96"/>
  <c r="H26" i="96"/>
  <c r="H25" i="96"/>
  <c r="K24" i="96"/>
  <c r="H24" i="96"/>
  <c r="H23" i="96"/>
  <c r="H22" i="96"/>
  <c r="H21" i="96"/>
  <c r="H20" i="96"/>
  <c r="U19" i="96"/>
  <c r="H19" i="96"/>
  <c r="H18" i="96"/>
  <c r="H17" i="96"/>
  <c r="U10" i="96"/>
  <c r="K7" i="96"/>
  <c r="I7" i="96"/>
  <c r="B7" i="96"/>
  <c r="B6" i="96"/>
  <c r="K5" i="96"/>
  <c r="I5" i="96"/>
  <c r="B5" i="96"/>
  <c r="K4" i="96"/>
  <c r="B4" i="96"/>
  <c r="B3" i="96"/>
  <c r="B4" i="88"/>
  <c r="B5" i="88"/>
  <c r="B6" i="88"/>
  <c r="B7" i="88"/>
  <c r="B3" i="88"/>
  <c r="B4" i="89"/>
  <c r="B5" i="89"/>
  <c r="B6" i="89"/>
  <c r="B7" i="89"/>
  <c r="B3" i="89"/>
  <c r="H35" i="88"/>
  <c r="H34" i="88"/>
  <c r="H33" i="88"/>
  <c r="H32" i="88"/>
  <c r="C32" i="88"/>
  <c r="H31" i="88"/>
  <c r="H30" i="88"/>
  <c r="H29" i="88"/>
  <c r="L28" i="88"/>
  <c r="H28" i="88"/>
  <c r="H27" i="88"/>
  <c r="H26" i="88"/>
  <c r="H25" i="88"/>
  <c r="K24" i="88"/>
  <c r="H24" i="88"/>
  <c r="H23" i="88"/>
  <c r="H22" i="88"/>
  <c r="H21" i="88"/>
  <c r="H20" i="88"/>
  <c r="U19" i="88"/>
  <c r="H19" i="88"/>
  <c r="H18" i="88"/>
  <c r="H17" i="88"/>
  <c r="U10" i="88"/>
  <c r="I7" i="88"/>
  <c r="K6" i="88"/>
  <c r="I6" i="88"/>
  <c r="K5" i="88"/>
  <c r="I5" i="88"/>
  <c r="H35" i="89"/>
  <c r="H34" i="89"/>
  <c r="H33" i="89"/>
  <c r="H32" i="89"/>
  <c r="C32" i="89"/>
  <c r="H31" i="89"/>
  <c r="H30" i="89"/>
  <c r="H29" i="89"/>
  <c r="L28" i="89"/>
  <c r="H28" i="89"/>
  <c r="H27" i="89"/>
  <c r="H26" i="89"/>
  <c r="H25" i="89"/>
  <c r="K24" i="89"/>
  <c r="H24" i="89"/>
  <c r="H23" i="89"/>
  <c r="H22" i="89"/>
  <c r="H21" i="89"/>
  <c r="H20" i="89"/>
  <c r="U19" i="89"/>
  <c r="H19" i="89"/>
  <c r="H18" i="89"/>
  <c r="H17" i="89"/>
  <c r="U10" i="89"/>
  <c r="K7" i="89"/>
  <c r="I7" i="89"/>
  <c r="K6" i="89"/>
  <c r="I6" i="89"/>
  <c r="K5" i="89"/>
  <c r="U19" i="86"/>
  <c r="H34" i="86"/>
  <c r="H35" i="86"/>
  <c r="I3" i="88" l="1"/>
  <c r="C31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G5" i="96" l="1"/>
  <c r="L5" i="96" s="1"/>
  <c r="G4" i="96"/>
  <c r="L4" i="96" s="1"/>
  <c r="G7" i="96"/>
  <c r="L7" i="96" s="1"/>
  <c r="G3" i="96"/>
  <c r="L3" i="96" s="1"/>
  <c r="G6" i="96"/>
  <c r="L6" i="96" s="1"/>
  <c r="G6" i="86"/>
  <c r="L6" i="86" s="1"/>
  <c r="G5" i="86"/>
  <c r="L5" i="86" s="1"/>
  <c r="G3" i="86"/>
  <c r="L3" i="86" s="1"/>
  <c r="G4" i="88"/>
  <c r="L4" i="88" s="1"/>
  <c r="G3" i="88"/>
  <c r="L3" i="88" s="1"/>
  <c r="G4" i="89"/>
  <c r="L4" i="89" s="1"/>
  <c r="G7" i="88"/>
  <c r="L7" i="88" s="1"/>
  <c r="G6" i="88"/>
  <c r="L6" i="88" s="1"/>
  <c r="G7" i="86"/>
  <c r="L7" i="86" s="1"/>
  <c r="G7" i="89"/>
  <c r="L7" i="89" s="1"/>
  <c r="G6" i="89"/>
  <c r="L6" i="89" s="1"/>
  <c r="G4" i="86"/>
  <c r="L4" i="86" s="1"/>
  <c r="G3" i="89"/>
  <c r="L3" i="89" s="1"/>
  <c r="G5" i="88"/>
  <c r="L5" i="88" s="1"/>
  <c r="G5" i="89"/>
  <c r="L5" i="89" s="1"/>
  <c r="C30" i="88" l="1"/>
  <c r="C30" i="96"/>
  <c r="C30" i="89"/>
  <c r="C30" i="86"/>
  <c r="L32" i="86" l="1"/>
  <c r="L32" i="89"/>
  <c r="L32" i="96"/>
  <c r="L32" i="88"/>
  <c r="L33" i="88" l="1" a="1"/>
  <c r="L33" i="88" s="1"/>
  <c r="L31" i="88" s="1"/>
  <c r="S10" i="88" s="1"/>
  <c r="L33" i="89" a="1"/>
  <c r="L33" i="89" s="1"/>
  <c r="L31" i="89" s="1"/>
  <c r="L33" i="96" a="1"/>
  <c r="L33" i="96" s="1"/>
  <c r="L31" i="96" s="1"/>
  <c r="L33" i="86" a="1"/>
  <c r="L33" i="86" s="1"/>
  <c r="L31" i="86" s="1"/>
  <c r="L22" i="89" l="1"/>
  <c r="S22" i="89"/>
  <c r="S21" i="89"/>
  <c r="S7" i="89"/>
  <c r="S15" i="89"/>
  <c r="S12" i="89"/>
  <c r="S14" i="89"/>
  <c r="Q14" i="89" s="1"/>
  <c r="S16" i="89"/>
  <c r="Q16" i="89" s="1"/>
  <c r="S20" i="89"/>
  <c r="S6" i="89"/>
  <c r="S5" i="89"/>
  <c r="L35" i="89"/>
  <c r="S10" i="89"/>
  <c r="S18" i="89"/>
  <c r="S4" i="89"/>
  <c r="Q4" i="89" s="1"/>
  <c r="S6" i="96"/>
  <c r="S11" i="96"/>
  <c r="S17" i="96"/>
  <c r="S9" i="96"/>
  <c r="S22" i="96"/>
  <c r="S5" i="96"/>
  <c r="S23" i="96"/>
  <c r="S10" i="96"/>
  <c r="S20" i="96"/>
  <c r="S14" i="96"/>
  <c r="S4" i="96"/>
  <c r="S19" i="96"/>
  <c r="S7" i="96"/>
  <c r="S15" i="96"/>
  <c r="S18" i="96"/>
  <c r="S22" i="86"/>
  <c r="Q22" i="86" s="1"/>
  <c r="S7" i="86"/>
  <c r="Q7" i="86" s="1"/>
  <c r="S12" i="86"/>
  <c r="L22" i="86"/>
  <c r="S3" i="86"/>
  <c r="Q3" i="86" s="1"/>
  <c r="S5" i="86"/>
  <c r="S23" i="86"/>
  <c r="Q23" i="86" s="1"/>
  <c r="S17" i="86"/>
  <c r="Q17" i="86" s="1"/>
  <c r="S19" i="86"/>
  <c r="Q19" i="86" s="1"/>
  <c r="S8" i="86"/>
  <c r="Q8" i="86" s="1"/>
  <c r="S20" i="86"/>
  <c r="S4" i="86"/>
  <c r="L35" i="86"/>
  <c r="S11" i="86"/>
  <c r="Q11" i="86" s="1"/>
  <c r="S14" i="86"/>
  <c r="Q14" i="86" s="1"/>
  <c r="S18" i="86"/>
  <c r="Q18" i="86" s="1"/>
  <c r="S21" i="86"/>
  <c r="Q21" i="86" s="1"/>
  <c r="S16" i="86"/>
  <c r="Q16" i="86" s="1"/>
  <c r="S10" i="86"/>
  <c r="S6" i="86"/>
  <c r="S15" i="86"/>
  <c r="Q15" i="86" s="1"/>
  <c r="S9" i="86"/>
  <c r="S20" i="88"/>
  <c r="S12" i="88"/>
  <c r="S9" i="88"/>
  <c r="S6" i="88"/>
  <c r="S23" i="89"/>
  <c r="S3" i="89"/>
  <c r="S19" i="89"/>
  <c r="S3" i="96"/>
  <c r="S16" i="96"/>
  <c r="S22" i="88"/>
  <c r="S14" i="88"/>
  <c r="S16" i="88"/>
  <c r="S17" i="88"/>
  <c r="L35" i="88"/>
  <c r="S3" i="88"/>
  <c r="S18" i="88"/>
  <c r="S15" i="88"/>
  <c r="S8" i="89"/>
  <c r="Q8" i="89" s="1"/>
  <c r="S17" i="89"/>
  <c r="Q17" i="89" s="1"/>
  <c r="L22" i="96"/>
  <c r="Q18" i="96" s="1"/>
  <c r="S8" i="96"/>
  <c r="L35" i="96"/>
  <c r="S23" i="88"/>
  <c r="S8" i="88"/>
  <c r="S19" i="88"/>
  <c r="S7" i="88"/>
  <c r="L22" i="88"/>
  <c r="L26" i="88" s="1"/>
  <c r="S21" i="88"/>
  <c r="S5" i="88"/>
  <c r="S11" i="89"/>
  <c r="S9" i="89"/>
  <c r="S12" i="96"/>
  <c r="S21" i="96"/>
  <c r="S4" i="88"/>
  <c r="S11" i="88"/>
  <c r="Q5" i="86"/>
  <c r="L21" i="86"/>
  <c r="Q9" i="86"/>
  <c r="L26" i="86"/>
  <c r="Q6" i="86"/>
  <c r="Q4" i="86"/>
  <c r="Q20" i="86"/>
  <c r="Q12" i="86"/>
  <c r="L20" i="86"/>
  <c r="Q10" i="86"/>
  <c r="Q23" i="89"/>
  <c r="Q22" i="89"/>
  <c r="L20" i="89"/>
  <c r="Q12" i="89"/>
  <c r="Q7" i="89"/>
  <c r="Q20" i="89"/>
  <c r="Q15" i="89"/>
  <c r="Q18" i="89"/>
  <c r="Q9" i="89"/>
  <c r="Q10" i="89"/>
  <c r="Q19" i="89"/>
  <c r="Q3" i="89"/>
  <c r="Q21" i="89"/>
  <c r="Q5" i="89"/>
  <c r="L21" i="89"/>
  <c r="Q11" i="89"/>
  <c r="L26" i="89"/>
  <c r="Q6" i="89"/>
  <c r="Q15" i="96" l="1"/>
  <c r="E39" i="94"/>
  <c r="E39" i="97"/>
  <c r="H29" i="94"/>
  <c r="H29" i="97"/>
  <c r="E32" i="94"/>
  <c r="E32" i="97"/>
  <c r="H30" i="94"/>
  <c r="H30" i="97"/>
  <c r="E38" i="94"/>
  <c r="E38" i="97"/>
  <c r="E37" i="94"/>
  <c r="E37" i="97"/>
  <c r="E29" i="94"/>
  <c r="E29" i="97"/>
  <c r="E31" i="94"/>
  <c r="E31" i="97"/>
  <c r="I30" i="94"/>
  <c r="I30" i="97"/>
  <c r="I29" i="94"/>
  <c r="I29" i="97"/>
  <c r="E30" i="94"/>
  <c r="E30" i="97"/>
  <c r="Q8" i="96"/>
  <c r="P8" i="96" s="1"/>
  <c r="Q14" i="96"/>
  <c r="P14" i="96" s="1"/>
  <c r="Q20" i="96"/>
  <c r="P20" i="96" s="1"/>
  <c r="Q16" i="96"/>
  <c r="O16" i="96" s="1"/>
  <c r="Q19" i="96"/>
  <c r="Q9" i="96"/>
  <c r="L21" i="96"/>
  <c r="Q23" i="96"/>
  <c r="O23" i="96" s="1"/>
  <c r="L26" i="96"/>
  <c r="L25" i="96" s="1"/>
  <c r="Q3" i="96"/>
  <c r="Q6" i="96"/>
  <c r="P6" i="96" s="1"/>
  <c r="Q4" i="96"/>
  <c r="P4" i="96" s="1"/>
  <c r="Q5" i="96"/>
  <c r="O5" i="96" s="1"/>
  <c r="Q7" i="96"/>
  <c r="Q10" i="96"/>
  <c r="P10" i="96" s="1"/>
  <c r="Q11" i="96"/>
  <c r="P11" i="96" s="1"/>
  <c r="L20" i="96"/>
  <c r="U6" i="96" s="1"/>
  <c r="BB16" i="95" s="1"/>
  <c r="S32" i="87" s="1"/>
  <c r="Q21" i="96"/>
  <c r="P21" i="96" s="1"/>
  <c r="Q12" i="96"/>
  <c r="O12" i="96" s="1"/>
  <c r="Q23" i="88"/>
  <c r="P23" i="88" s="1"/>
  <c r="Q11" i="88"/>
  <c r="P11" i="88" s="1"/>
  <c r="Q22" i="96"/>
  <c r="Q17" i="96"/>
  <c r="P17" i="96" s="1"/>
  <c r="Q18" i="88"/>
  <c r="P18" i="88" s="1"/>
  <c r="Q9" i="88"/>
  <c r="O9" i="88" s="1"/>
  <c r="Q8" i="88"/>
  <c r="P8" i="88" s="1"/>
  <c r="Q7" i="88"/>
  <c r="Q6" i="88"/>
  <c r="P6" i="88" s="1"/>
  <c r="Q4" i="88"/>
  <c r="P4" i="88" s="1"/>
  <c r="Q21" i="88"/>
  <c r="O21" i="88" s="1"/>
  <c r="L20" i="88"/>
  <c r="Q15" i="88"/>
  <c r="P15" i="88" s="1"/>
  <c r="Q14" i="88"/>
  <c r="P14" i="88" s="1"/>
  <c r="Q3" i="88"/>
  <c r="Q5" i="88"/>
  <c r="P5" i="88" s="1"/>
  <c r="Q20" i="88"/>
  <c r="P20" i="88" s="1"/>
  <c r="Q16" i="88"/>
  <c r="O16" i="88" s="1"/>
  <c r="Q22" i="88"/>
  <c r="O22" i="88" s="1"/>
  <c r="Q12" i="88"/>
  <c r="P12" i="88" s="1"/>
  <c r="L21" i="88"/>
  <c r="Q10" i="88"/>
  <c r="P10" i="88" s="1"/>
  <c r="Q17" i="88"/>
  <c r="P17" i="88" s="1"/>
  <c r="Q19" i="88"/>
  <c r="O19" i="88" s="1"/>
  <c r="O14" i="96"/>
  <c r="P9" i="89"/>
  <c r="O9" i="89"/>
  <c r="O18" i="86"/>
  <c r="P18" i="86"/>
  <c r="O8" i="86"/>
  <c r="P8" i="86"/>
  <c r="O21" i="96"/>
  <c r="L25" i="88"/>
  <c r="L24" i="88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O20" i="88"/>
  <c r="P7" i="86"/>
  <c r="O7" i="86"/>
  <c r="O11" i="89"/>
  <c r="P11" i="89"/>
  <c r="O23" i="86"/>
  <c r="P23" i="86"/>
  <c r="O4" i="96"/>
  <c r="U5" i="96"/>
  <c r="BB15" i="95" s="1"/>
  <c r="S31" i="87" s="1"/>
  <c r="U5" i="89"/>
  <c r="BB9" i="95" s="1"/>
  <c r="S25" i="87" s="1"/>
  <c r="U18" i="89"/>
  <c r="O17" i="89"/>
  <c r="P17" i="89"/>
  <c r="O4" i="89"/>
  <c r="P4" i="89"/>
  <c r="P14" i="86"/>
  <c r="O14" i="86"/>
  <c r="P19" i="86"/>
  <c r="O19" i="86"/>
  <c r="L25" i="86"/>
  <c r="L24" i="86"/>
  <c r="P21" i="88"/>
  <c r="O6" i="88"/>
  <c r="P5" i="96"/>
  <c r="O7" i="96"/>
  <c r="P7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L25" i="89"/>
  <c r="O12" i="89"/>
  <c r="P12" i="89"/>
  <c r="O23" i="88"/>
  <c r="U6" i="89"/>
  <c r="BB10" i="95" s="1"/>
  <c r="S26" i="87" s="1"/>
  <c r="P7" i="88"/>
  <c r="O7" i="88"/>
  <c r="O22" i="96"/>
  <c r="P22" i="96"/>
  <c r="O17" i="96"/>
  <c r="O3" i="89"/>
  <c r="P3" i="89"/>
  <c r="O15" i="89"/>
  <c r="P15" i="89"/>
  <c r="O11" i="86"/>
  <c r="P11" i="86"/>
  <c r="U18" i="86"/>
  <c r="U5" i="86"/>
  <c r="BB6" i="95" s="1"/>
  <c r="S22" i="87" s="1"/>
  <c r="P8" i="89"/>
  <c r="O8" i="89"/>
  <c r="O6" i="86"/>
  <c r="P6" i="86"/>
  <c r="P3" i="88"/>
  <c r="O3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U6" i="86"/>
  <c r="BB7" i="95" s="1"/>
  <c r="S23" i="87" s="1"/>
  <c r="P22" i="88"/>
  <c r="P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O5" i="88" l="1"/>
  <c r="P12" i="96"/>
  <c r="O6" i="96"/>
  <c r="P19" i="88"/>
  <c r="O20" i="96"/>
  <c r="L24" i="96"/>
  <c r="H40" i="94" s="1"/>
  <c r="I40" i="94"/>
  <c r="I40" i="97"/>
  <c r="O10" i="88"/>
  <c r="P9" i="88"/>
  <c r="O8" i="96"/>
  <c r="O14" i="88"/>
  <c r="H37" i="94"/>
  <c r="H37" i="97"/>
  <c r="E40" i="94"/>
  <c r="E40" i="97"/>
  <c r="I39" i="94"/>
  <c r="I39" i="97"/>
  <c r="H31" i="94"/>
  <c r="H31" i="97"/>
  <c r="I32" i="94"/>
  <c r="I32" i="97"/>
  <c r="I38" i="94"/>
  <c r="I38" i="97"/>
  <c r="I37" i="94"/>
  <c r="I37" i="97"/>
  <c r="H32" i="94"/>
  <c r="H32" i="97"/>
  <c r="H38" i="94"/>
  <c r="H38" i="97"/>
  <c r="H39" i="94"/>
  <c r="H39" i="97"/>
  <c r="I31" i="94"/>
  <c r="I31" i="97"/>
  <c r="O15" i="88"/>
  <c r="O10" i="96"/>
  <c r="P23" i="96"/>
  <c r="O11" i="96"/>
  <c r="P16" i="88"/>
  <c r="U5" i="88"/>
  <c r="BB12" i="95" s="1"/>
  <c r="S28" i="87" s="1"/>
  <c r="O11" i="88"/>
  <c r="U18" i="88"/>
  <c r="U18" i="96"/>
  <c r="O18" i="88"/>
  <c r="O4" i="88"/>
  <c r="O12" i="88"/>
  <c r="O17" i="88"/>
  <c r="O8" i="88"/>
  <c r="U6" i="88"/>
  <c r="BB13" i="95" s="1"/>
  <c r="S29" i="87" s="1"/>
  <c r="U13" i="86"/>
  <c r="BB22" i="95" s="1"/>
  <c r="S39" i="87" s="1"/>
  <c r="U12" i="89"/>
  <c r="BB24" i="95" s="1"/>
  <c r="S41" i="87" s="1"/>
  <c r="U12" i="86"/>
  <c r="BB21" i="95" s="1"/>
  <c r="S38" i="87" s="1"/>
  <c r="U13" i="88"/>
  <c r="BB28" i="95" s="1"/>
  <c r="S45" i="87" s="1"/>
  <c r="U12" i="96"/>
  <c r="BB30" i="95" s="1"/>
  <c r="S47" i="87" s="1"/>
  <c r="U12" i="88"/>
  <c r="BB27" i="95" s="1"/>
  <c r="S44" i="87" s="1"/>
  <c r="U13" i="89"/>
  <c r="BB25" i="95" s="1"/>
  <c r="S42" i="87" s="1"/>
  <c r="U13" i="96"/>
  <c r="BB31" i="95" s="1"/>
  <c r="S48" i="87" s="1"/>
  <c r="H40" i="97" l="1"/>
  <c r="C33" i="96"/>
  <c r="C34" i="96" s="1"/>
  <c r="L34" i="96" s="1"/>
  <c r="C33" i="86"/>
  <c r="C34" i="86" s="1"/>
  <c r="L34" i="86" s="1"/>
  <c r="C33" i="89"/>
  <c r="C34" i="89" s="1"/>
  <c r="L34" i="89" s="1"/>
  <c r="C33" i="88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<sst xmlns="http://schemas.openxmlformats.org/spreadsheetml/2006/main" count="354" uniqueCount="114">
  <si>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</si>
  <si>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</si>
  <si>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</si>
  <si>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</si>
  <si>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</si>
  <si>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</si>
  <si>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</si>
  <si>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</si>
  <si>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</si>
  <si>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</si>
  <si>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</si>
  <si>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</si>
  <si>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</si>
  <si>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</si>
  <si>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</si>
  <si>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</si>
  <si>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</si>
  <si>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</si>
  <si>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</si>
  <si>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</si>
  <si>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</si>
  <si>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</si>
  <si>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</si>
  <si>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</si>
  <si>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</si>
  <si>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</si>
  <si>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</si>
  <si>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</si>
  <si>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</si>
  <si>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</si>
  <si>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</si>
  <si>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</si>
  <si>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</si>
  <si>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</si>
  <si>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</si>
  <si>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</si>
  <si>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</si>
  <si>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</si>
  <si>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</si>
  <si>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</si>
  <si>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</si>
  <si>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</si>
  <si>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</si>
  <si>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</si>
  <si>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</si>
  <si>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</si>
  <si>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</si>
  <si>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</si>
  <si>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</si>
  <si>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</si>
  <si>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</si>
  <si>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</si>
  <si>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</si>
  <si>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</si>
  <si>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</si>
  <si>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</si>
  <si>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</si>
  <si>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</si>
  <si>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</si>
  <si>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</si>
  <si>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</si>
  <si>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</si>
  <si>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</si>
  <si>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</si>
  <si>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</si>
  <si>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</si>
  <si>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</si>
  <si>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</si>
  <si>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</si>
  <si>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</si>
  <si>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</si>
  <si>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</si>
  <si>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</si>
  <si>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</si>
  <si>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</si>
  <si>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</si>
  <si>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</si>
  <si>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</si>
  <si>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</si>
  <si>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</si>
  <si>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</si>
  <si>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</si>
  <si>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</si>
  <si>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</si>
  <si>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</si>
  <si>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</si>
  <si>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</si>
  <si>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</si>
  <si>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</si>
  <si>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</si>
  <si>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</si>
  <si>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</si>
  <si>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</si>
  <si>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</si>
  <si>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</si>
  <si>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</si>
  <si>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</si>
  <si>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</si>
  <si>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</si>
  <si>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</si>
  <si>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</si>
  <si>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</si>
  <si>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</si>
  <si>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</si>
  <si>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</si>
  <si>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</si>
  <si>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</si>
  <si>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</si>
  <si>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</si>
  <si>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</si>
  <si>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</si>
  <si>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</si>
  <si>
    <t>Profundidade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</si>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</sst>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4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0" fillId="0" borderId="35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Continuous" vertical="center"/>
    </xf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8" fontId="15" fillId="0" borderId="0" xfId="8" applyNumberFormat="1" applyFo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9" fillId="9" borderId="0" xfId="5" applyAlignment="1">
      <alignment horizont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0" fillId="11" borderId="36" xfId="0" applyFont="1" applyFill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10" fillId="11" borderId="36" xfId="0" applyFont="1" applyFill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0" xfId="0" applyBorder="1"/>
    <xf numFmtId="0" fontId="0" fillId="0" borderId="36" xfId="0" applyFont="1" applyFill="1" applyBorder="1" applyAlignment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4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3"/>
      <tableStyleElement type="headerRow" dxfId="82"/>
      <tableStyleElement type="totalRow" dxfId="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80FCE05-472A-419D-AFDB-1165F8F42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0"/>
          <a:ext cx="967978" cy="826293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74DD9DC-01DB-4560-95A1-4AAD0EF212A2}"/>
            </a:ext>
          </a:extLst>
        </xdr:cNvPr>
        <xdr:cNvSpPr txBox="1"/>
      </xdr:nvSpPr>
      <xdr:spPr>
        <a:xfrm>
          <a:off x="3661169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315993F-CFA6-46AA-BF4D-8ED95C697298}"/>
            </a:ext>
          </a:extLst>
        </xdr:cNvPr>
        <xdr:cNvSpPr txBox="1"/>
      </xdr:nvSpPr>
      <xdr:spPr>
        <a:xfrm>
          <a:off x="4486595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  <sheetName val="CadastroPapel"/>
    </sheet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80" dataDxfId="79">
  <autoFilter ref="O26:S35" xr:uid="{FFCC3C44-1CAD-4E5A-955E-D7ACCED74482}"/>
  <tableColumns count="5">
    <tableColumn id="1" xr3:uid="{6B4D1C90-436A-4487-8B38-05FA483EFB2C}" name="Clichê" dataDxfId="78"/>
    <tableColumn id="2" xr3:uid="{E6AC7155-EC99-4DAB-BAE6-240B255C0965}" name="Valor Clichê" dataDxfId="77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6"/>
    <tableColumn id="4" xr3:uid="{AFDD145A-B3DD-40E9-A6FF-ED9F43900F2E}" name="Valor Final" dataDxfId="75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4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3" dataDxfId="72">
  <autoFilter ref="O26:S35" xr:uid="{D667FBB6-3AA2-4CEB-9A78-5A9EA58C4152}"/>
  <tableColumns count="5">
    <tableColumn id="1" xr3:uid="{B1E52DA5-D382-4D5E-92D9-FEEEDA59F94C}" name="Clichê" dataDxfId="71">
      <calculatedColumnFormula>IF('Tiragem - 1'!O27=0,"",'Tiragem - 1'!O27)</calculatedColumnFormula>
    </tableColumn>
    <tableColumn id="2" xr3:uid="{EA1151D7-E332-43FF-A419-147ED0C9597C}" name="Valor Clichê" dataDxfId="70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69"/>
    <tableColumn id="4" xr3:uid="{F48B5139-56D1-4FB8-82E0-A43A3A59C35B}" name="Valor Final" dataDxfId="68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67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6" dataDxfId="65">
  <autoFilter ref="O26:S35" xr:uid="{D153363D-C9A9-4EF5-8963-916E8D30EAB7}"/>
  <tableColumns count="5">
    <tableColumn id="1" xr3:uid="{3061DAEE-28C0-4AE0-A271-81F44FE1B594}" name="Clichê" dataDxfId="64">
      <calculatedColumnFormula>IF('Tiragem - 1'!O27=0,"",'Tiragem - 1'!O27)</calculatedColumnFormula>
    </tableColumn>
    <tableColumn id="2" xr3:uid="{43BD9585-7987-45CD-BCFD-E15576371C86}" name="Valor Clichê" dataDxfId="63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62"/>
    <tableColumn id="4" xr3:uid="{294777C8-A1DA-497F-8D00-7C80FD6707AF}" name="Valor Final" dataDxfId="61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60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9" dataDxfId="58">
  <autoFilter ref="O26:S35" xr:uid="{D153363D-C9A9-4EF5-8963-916E8D30EAB7}"/>
  <tableColumns count="5">
    <tableColumn id="1" xr3:uid="{8852BAF3-80D7-4750-853D-00929EC618FD}" name="Clichê" dataDxfId="57">
      <calculatedColumnFormula>IF('Tiragem - 1'!O27=0,"",'Tiragem - 1'!O27)</calculatedColumnFormula>
    </tableColumn>
    <tableColumn id="2" xr3:uid="{C9F2D34E-796A-4CBE-85D4-D4EAE12D0653}" name="Valor Clichê" dataDxfId="56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5"/>
    <tableColumn id="4" xr3:uid="{02458D46-2637-4C75-83A2-B8CBB05C2887}" name="Valor Final" dataDxfId="54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3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17" dataDxfId="16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1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14" dataDxfId="13" tableBorderDxfId="12">
  <autoFilter ref="D3:E8" xr:uid="{2D6C778C-FCEF-4489-9367-9D077DFCD490}"/>
  <tableColumns count="2">
    <tableColumn id="1" xr3:uid="{97913FFD-BCF4-4BF9-A37B-0B818F2E7980}" name="Cores" dataDxfId="11"/>
    <tableColumn id="2" xr3:uid="{9F30A5F1-B82B-48F0-9AF6-8CF19FA244F9}" name="Descrição" dataDxfId="1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9" dataDxfId="8">
  <autoFilter ref="G3:G8" xr:uid="{59F1BBA7-3FBA-4929-9437-09F16222788D}"/>
  <tableColumns count="1">
    <tableColumn id="1" xr3:uid="{430A0CC3-ED85-4082-A8BE-5CE5E24FE05F}" name="1X0" dataDxfId="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6" dataDxfId="5" tableBorderDxfId="4">
  <autoFilter ref="I3:I8" xr:uid="{09C3DCF0-A344-47BE-98F0-872D1292B3D4}"/>
  <tableColumns count="1">
    <tableColumn id="1" xr3:uid="{042EAF0E-6C55-409B-8566-9C7817F6C7BF}" name="Lados" dataDxfId="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2" dataDxfId="1">
  <autoFilter ref="K3:K13" xr:uid="{4578A185-BE0B-4688-B23E-0D304E32A849}"/>
  <tableColumns count="1">
    <tableColumn id="1" xr3:uid="{1E26AE01-8352-49BB-BA10-6EA08A8C6681}" name="Dado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workbookViewId="0">
      <selection activeCell="L12" sqref="L12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2" t="s">
        <v>3</v>
      </c>
      <c r="C2" s="102"/>
      <c r="D2" s="102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3" t="s">
        <v>22</v>
      </c>
      <c r="O2" s="103"/>
      <c r="P2" s="103"/>
      <c r="Q2" s="103"/>
      <c r="R2" s="103"/>
      <c r="S2" s="103"/>
      <c r="U2" t="s">
        <v>24</v>
      </c>
    </row>
    <row r="3" spans="2:23" x14ac:dyDescent="0.25">
      <c r="B3" s="99"/>
      <c r="C3" s="100"/>
      <c r="D3" s="101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9"/>
      <c r="C4" s="100"/>
      <c r="D4" s="101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9"/>
      <c r="C5" s="100"/>
      <c r="D5" s="101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99"/>
      <c r="C6" s="100"/>
      <c r="D6" s="101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9"/>
      <c r="C7" s="100"/>
      <c r="D7" s="101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8" t="s">
        <v>2</v>
      </c>
      <c r="F9" s="108"/>
      <c r="G9" s="108"/>
      <c r="H9" s="108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5"/>
      <c r="F10" s="106"/>
      <c r="G10" s="106"/>
      <c r="H10" s="107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5"/>
      <c r="F11" s="106"/>
      <c r="G11" s="106"/>
      <c r="H11" s="107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5"/>
      <c r="F12" s="106"/>
      <c r="G12" s="106"/>
      <c r="H12" s="107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5"/>
      <c r="F13" s="106"/>
      <c r="G13" s="106"/>
      <c r="H13" s="107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5"/>
      <c r="F14" s="106"/>
      <c r="G14" s="106"/>
      <c r="H14" s="107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4" t="s">
        <v>15</v>
      </c>
      <c r="K16" s="104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3" t="s">
        <v>23</v>
      </c>
      <c r="O24" s="103"/>
      <c r="P24" s="103"/>
      <c r="Q24" s="103"/>
      <c r="R24" s="103"/>
      <c r="S24" s="103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N2:S2"/>
    <mergeCell ref="N24:S24"/>
    <mergeCell ref="J16:K16"/>
    <mergeCell ref="E10:H10"/>
    <mergeCell ref="E11:H11"/>
    <mergeCell ref="E12:H12"/>
    <mergeCell ref="E13:H13"/>
    <mergeCell ref="E14:H14"/>
    <mergeCell ref="E9:H9"/>
    <mergeCell ref="B7:D7"/>
    <mergeCell ref="B2:D2"/>
    <mergeCell ref="B3:D3"/>
    <mergeCell ref="B4:D4"/>
    <mergeCell ref="B5:D5"/>
    <mergeCell ref="B6:D6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2" t="s">
        <v>3</v>
      </c>
      <c r="C2" s="102"/>
      <c r="D2" s="102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3" t="s">
        <v>22</v>
      </c>
      <c r="O2" s="103"/>
      <c r="P2" s="103"/>
      <c r="Q2" s="103"/>
      <c r="R2" s="103"/>
      <c r="S2" s="103"/>
      <c r="U2" t="s">
        <v>24</v>
      </c>
    </row>
    <row r="3" spans="2:23" x14ac:dyDescent="0.25">
      <c r="B3" s="99" t="str">
        <f>IF('Tiragem - 1'!B3=0,"",'Tiragem - 1'!B3)</f>
        <v/>
      </c>
      <c r="C3" s="100"/>
      <c r="D3" s="101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9" t="str">
        <f>IF('Tiragem - 1'!B4=0,"",'Tiragem - 1'!B4)</f>
        <v/>
      </c>
      <c r="C4" s="100"/>
      <c r="D4" s="101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9" t="str">
        <f>IF('Tiragem - 1'!B5=0,"",'Tiragem - 1'!B5)</f>
        <v/>
      </c>
      <c r="C5" s="100"/>
      <c r="D5" s="101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99" t="str">
        <f>IF('Tiragem - 1'!B6=0,"",'Tiragem - 1'!B6)</f>
        <v/>
      </c>
      <c r="C6" s="100"/>
      <c r="D6" s="101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9" t="str">
        <f>IF('Tiragem - 1'!B7=0,"",'Tiragem - 1'!B7)</f>
        <v/>
      </c>
      <c r="C7" s="100"/>
      <c r="D7" s="101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8" t="s">
        <v>2</v>
      </c>
      <c r="F9" s="108"/>
      <c r="G9" s="108"/>
      <c r="H9" s="108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5" t="str">
        <f>IF('Tiragem - 1'!E10=0,"",'Tiragem - 1'!E10)</f>
        <v/>
      </c>
      <c r="F10" s="106"/>
      <c r="G10" s="106"/>
      <c r="H10" s="107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5" t="str">
        <f>IF('Tiragem - 1'!E11=0,"",'Tiragem - 1'!E11)</f>
        <v/>
      </c>
      <c r="F11" s="106"/>
      <c r="G11" s="106"/>
      <c r="H11" s="107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5" t="str">
        <f>IF('Tiragem - 1'!E12=0,"",'Tiragem - 1'!E12)</f>
        <v/>
      </c>
      <c r="F12" s="106"/>
      <c r="G12" s="106"/>
      <c r="H12" s="107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5" t="str">
        <f>IF('Tiragem - 1'!E13=0,"",'Tiragem - 1'!E13)</f>
        <v/>
      </c>
      <c r="F13" s="106"/>
      <c r="G13" s="106"/>
      <c r="H13" s="107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5" t="str">
        <f>IF('Tiragem - 1'!E14=0,"",'Tiragem - 1'!E14)</f>
        <v/>
      </c>
      <c r="F14" s="106"/>
      <c r="G14" s="106"/>
      <c r="H14" s="107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4" t="s">
        <v>15</v>
      </c>
      <c r="K16" s="104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3" t="s">
        <v>23</v>
      </c>
      <c r="O24" s="103"/>
      <c r="P24" s="103"/>
      <c r="Q24" s="103"/>
      <c r="R24" s="103"/>
      <c r="S24" s="103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2" t="s">
        <v>3</v>
      </c>
      <c r="C2" s="102"/>
      <c r="D2" s="102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3" t="s">
        <v>22</v>
      </c>
      <c r="O2" s="103"/>
      <c r="P2" s="103"/>
      <c r="Q2" s="103"/>
      <c r="R2" s="103"/>
      <c r="S2" s="103"/>
      <c r="U2" t="s">
        <v>24</v>
      </c>
    </row>
    <row r="3" spans="2:23" x14ac:dyDescent="0.25">
      <c r="B3" s="99" t="str">
        <f>IF('Tiragem - 1'!B3=0,"",'Tiragem - 1'!B3)</f>
        <v/>
      </c>
      <c r="C3" s="100"/>
      <c r="D3" s="101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9" t="str">
        <f>IF('Tiragem - 1'!B4=0,"",'Tiragem - 1'!B4)</f>
        <v/>
      </c>
      <c r="C4" s="100"/>
      <c r="D4" s="101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9" t="str">
        <f>IF('Tiragem - 1'!B5=0,"",'Tiragem - 1'!B5)</f>
        <v/>
      </c>
      <c r="C5" s="100"/>
      <c r="D5" s="101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99" t="str">
        <f>IF('Tiragem - 1'!B6=0,"",'Tiragem - 1'!B6)</f>
        <v/>
      </c>
      <c r="C6" s="100"/>
      <c r="D6" s="101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9" t="str">
        <f>IF('Tiragem - 1'!B7=0,"",'Tiragem - 1'!B7)</f>
        <v/>
      </c>
      <c r="C7" s="100"/>
      <c r="D7" s="101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8" t="s">
        <v>2</v>
      </c>
      <c r="F9" s="108"/>
      <c r="G9" s="108"/>
      <c r="H9" s="108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5" t="str">
        <f>IF('Tiragem - 1'!E10=0,"",'Tiragem - 1'!E10)</f>
        <v/>
      </c>
      <c r="F10" s="106"/>
      <c r="G10" s="106"/>
      <c r="H10" s="107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5" t="str">
        <f>IF('Tiragem - 1'!E11=0,"",'Tiragem - 1'!E11)</f>
        <v/>
      </c>
      <c r="F11" s="106"/>
      <c r="G11" s="106"/>
      <c r="H11" s="107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5" t="str">
        <f>IF('Tiragem - 1'!E12=0,"",'Tiragem - 1'!E12)</f>
        <v/>
      </c>
      <c r="F12" s="106"/>
      <c r="G12" s="106"/>
      <c r="H12" s="107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5" t="str">
        <f>IF('Tiragem - 1'!E13=0,"",'Tiragem - 1'!E13)</f>
        <v/>
      </c>
      <c r="F13" s="106"/>
      <c r="G13" s="106"/>
      <c r="H13" s="107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5" t="str">
        <f>IF('Tiragem - 1'!E14=0,"",'Tiragem - 1'!E14)</f>
        <v/>
      </c>
      <c r="F14" s="106"/>
      <c r="G14" s="106"/>
      <c r="H14" s="107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4" t="s">
        <v>15</v>
      </c>
      <c r="K16" s="104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3" t="s">
        <v>23</v>
      </c>
      <c r="O24" s="103"/>
      <c r="P24" s="103"/>
      <c r="Q24" s="103"/>
      <c r="R24" s="103"/>
      <c r="S24" s="103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2" t="s">
        <v>3</v>
      </c>
      <c r="C2" s="102"/>
      <c r="D2" s="102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3" t="s">
        <v>22</v>
      </c>
      <c r="O2" s="103"/>
      <c r="P2" s="103"/>
      <c r="Q2" s="103"/>
      <c r="R2" s="103"/>
      <c r="S2" s="103"/>
      <c r="U2" t="s">
        <v>24</v>
      </c>
    </row>
    <row r="3" spans="2:23" x14ac:dyDescent="0.25">
      <c r="B3" s="99" t="str">
        <f>IF('Tiragem - 1'!B3=0,"",'Tiragem - 1'!B3)</f>
        <v/>
      </c>
      <c r="C3" s="100"/>
      <c r="D3" s="101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9" t="str">
        <f>IF('Tiragem - 1'!B4=0,"",'Tiragem - 1'!B4)</f>
        <v/>
      </c>
      <c r="C4" s="100"/>
      <c r="D4" s="101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9" t="str">
        <f>IF('Tiragem - 1'!B5=0,"",'Tiragem - 1'!B5)</f>
        <v/>
      </c>
      <c r="C5" s="100"/>
      <c r="D5" s="101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99" t="str">
        <f>IF('Tiragem - 1'!B6=0,"",'Tiragem - 1'!B6)</f>
        <v/>
      </c>
      <c r="C6" s="100"/>
      <c r="D6" s="101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9" t="str">
        <f>IF('Tiragem - 1'!B7=0,"",'Tiragem - 1'!B7)</f>
        <v/>
      </c>
      <c r="C7" s="100"/>
      <c r="D7" s="101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8" t="s">
        <v>2</v>
      </c>
      <c r="F9" s="108"/>
      <c r="G9" s="108"/>
      <c r="H9" s="108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5" t="str">
        <f>IF('Tiragem - 1'!E10=0,"",'Tiragem - 1'!E10)</f>
        <v/>
      </c>
      <c r="F10" s="106"/>
      <c r="G10" s="106"/>
      <c r="H10" s="107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5" t="str">
        <f>IF('Tiragem - 1'!E11=0,"",'Tiragem - 1'!E11)</f>
        <v/>
      </c>
      <c r="F11" s="106"/>
      <c r="G11" s="106"/>
      <c r="H11" s="107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5" t="str">
        <f>IF('Tiragem - 1'!E12=0,"",'Tiragem - 1'!E12)</f>
        <v/>
      </c>
      <c r="F12" s="106"/>
      <c r="G12" s="106"/>
      <c r="H12" s="107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5" t="str">
        <f>IF('Tiragem - 1'!E13=0,"",'Tiragem - 1'!E13)</f>
        <v/>
      </c>
      <c r="F13" s="106"/>
      <c r="G13" s="106"/>
      <c r="H13" s="107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5" t="str">
        <f>IF('Tiragem - 1'!E14=0,"",'Tiragem - 1'!E14)</f>
        <v/>
      </c>
      <c r="F14" s="106"/>
      <c r="G14" s="106"/>
      <c r="H14" s="107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4" t="s">
        <v>15</v>
      </c>
      <c r="K16" s="104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3" t="s">
        <v>23</v>
      </c>
      <c r="O24" s="103"/>
      <c r="P24" s="103"/>
      <c r="Q24" s="103"/>
      <c r="R24" s="103"/>
      <c r="S24" s="103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E14:H14"/>
    <mergeCell ref="J16:K16"/>
    <mergeCell ref="N24:S24"/>
    <mergeCell ref="B7:D7"/>
    <mergeCell ref="E9:H9"/>
    <mergeCell ref="E10:H10"/>
    <mergeCell ref="E11:H11"/>
    <mergeCell ref="E12:H12"/>
    <mergeCell ref="E13:H13"/>
    <mergeCell ref="B6:D6"/>
    <mergeCell ref="B2:D2"/>
    <mergeCell ref="N2:S2"/>
    <mergeCell ref="B3:D3"/>
    <mergeCell ref="B4:D4"/>
    <mergeCell ref="B5:D5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tabSelected="1" zoomScaleNormal="100" workbookViewId="0">
      <selection activeCell="L12" sqref="L12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/>
      <c r="B2" s="111" t="s">
        <v>81</v>
      </c>
      <c r="C2" s="112"/>
      <c r="D2" s="112"/>
      <c r="E2" s="112"/>
      <c r="F2" s="112"/>
      <c r="G2" s="112"/>
      <c r="H2" s="112"/>
      <c r="I2" s="113"/>
      <c r="J2"/>
      <c r="K2" s="111" t="s">
        <v>61</v>
      </c>
      <c r="L2" s="112"/>
      <c r="M2" s="112"/>
      <c r="N2" s="112"/>
      <c r="O2" s="112"/>
      <c r="P2" s="113"/>
      <c r="Q2"/>
      <c r="R2" s="111" t="s">
        <v>13</v>
      </c>
      <c r="S2" s="112"/>
      <c r="T2" s="113"/>
      <c r="U2"/>
      <c r="V2"/>
      <c r="W2"/>
      <c r="X2"/>
      <c r="Y2"/>
      <c r="Z2"/>
    </row>
    <row r="3" spans="1:26" ht="15" customHeight="1" x14ac:dyDescent="0.25">
      <c r="B3" s="92"/>
      <c r="I3" s="94"/>
      <c r="K3" s="92"/>
      <c r="L3" s="141"/>
      <c r="M3" s="141"/>
      <c r="N3" s="141"/>
      <c r="O3" s="141"/>
      <c r="P3" s="94"/>
      <c r="R3" s="92"/>
      <c r="T3" s="94"/>
    </row>
    <row r="4" spans="1:26" x14ac:dyDescent="0.25">
      <c r="B4" s="92"/>
      <c r="C4" s="110" t="s">
        <v>82</v>
      </c>
      <c r="D4" s="110"/>
      <c r="E4" s="109"/>
      <c r="F4" s="109"/>
      <c r="G4" s="109"/>
      <c r="H4" s="109"/>
      <c r="I4" s="94"/>
      <c r="K4" s="92"/>
      <c r="L4" s="138" t="s">
        <v>58</v>
      </c>
      <c r="M4" s="138"/>
      <c r="N4" s="138"/>
      <c r="O4" s="138"/>
      <c r="P4" s="94"/>
      <c r="R4" s="92"/>
      <c r="S4" t="str">
        <f>IFERROR(IF(L5="","Nome do Material",L5),"")</f>
        <v>Nome do Material</v>
      </c>
      <c r="T4" s="94"/>
    </row>
    <row r="5" spans="1:26" ht="14.25" customHeight="1" x14ac:dyDescent="0.25">
      <c r="B5" s="92"/>
      <c r="I5" s="94"/>
      <c r="K5" s="92"/>
      <c r="L5" s="139"/>
      <c r="M5" s="139"/>
      <c r="N5" s="139"/>
      <c r="O5" s="139"/>
      <c r="P5" s="94"/>
      <c r="R5" s="92"/>
      <c r="S5" t="str">
        <f>CONCATENATE("Tamanho: ",O10)</f>
        <v>Tamanho: 5x10x20 cm</v>
      </c>
      <c r="T5" s="94"/>
    </row>
    <row r="6" spans="1:26" x14ac:dyDescent="0.25">
      <c r="B6" s="92"/>
      <c r="C6" s="110" t="s">
        <v>83</v>
      </c>
      <c r="D6" s="110"/>
      <c r="E6" s="110"/>
      <c r="F6" s="110"/>
      <c r="G6" s="110"/>
      <c r="H6" s="110"/>
      <c r="I6" s="94"/>
      <c r="K6" s="92"/>
      <c r="L6" s="141"/>
      <c r="M6" s="141"/>
      <c r="N6" s="141"/>
      <c r="O6" s="141"/>
      <c r="P6" s="94"/>
      <c r="R6" s="92"/>
      <c r="S6" t="str">
        <f>CONCATENATE("Largura: ",L10,"cm")</f>
        <v>Largura: 5cm</v>
      </c>
      <c r="T6" s="94"/>
    </row>
    <row r="7" spans="1:26" x14ac:dyDescent="0.25">
      <c r="B7" s="92"/>
      <c r="C7" s="109"/>
      <c r="D7" s="109"/>
      <c r="E7" s="109"/>
      <c r="F7" s="109"/>
      <c r="G7" s="109"/>
      <c r="H7" s="109"/>
      <c r="I7" s="94"/>
      <c r="K7" s="92"/>
      <c r="L7" s="136" t="s">
        <v>57</v>
      </c>
      <c r="M7" s="139" t="str">
        <f>Dados!$BB$35</f>
        <v>Inválido</v>
      </c>
      <c r="N7" s="139"/>
      <c r="O7" s="139"/>
      <c r="P7" s="94"/>
      <c r="R7" s="92"/>
      <c r="S7" t="str">
        <f>CONCATENATE("Profundidade: ",M10,"cm")</f>
        <v>Profundidade: 10cm</v>
      </c>
      <c r="T7" s="94"/>
    </row>
    <row r="8" spans="1:26" x14ac:dyDescent="0.25">
      <c r="B8" s="92"/>
      <c r="I8" s="94"/>
      <c r="K8" s="92"/>
      <c r="L8" s="141"/>
      <c r="M8" s="141"/>
      <c r="N8" s="141"/>
      <c r="O8" s="141"/>
      <c r="P8" s="94"/>
      <c r="R8" s="92"/>
      <c r="S8" t="str">
        <f>CONCATENATE("Altura: ",N10,"cm")</f>
        <v>Altura: 20cm</v>
      </c>
      <c r="T8" s="94"/>
    </row>
    <row r="9" spans="1:26" x14ac:dyDescent="0.25">
      <c r="B9" s="92"/>
      <c r="C9" s="110" t="s">
        <v>84</v>
      </c>
      <c r="D9" s="110"/>
      <c r="E9" s="110"/>
      <c r="F9" s="110"/>
      <c r="G9" s="110"/>
      <c r="H9" s="110"/>
      <c r="I9" s="94"/>
      <c r="K9" s="92"/>
      <c r="L9" s="136" t="s">
        <v>63</v>
      </c>
      <c r="M9" s="136" t="s">
        <v>112</v>
      </c>
      <c r="N9" s="136" t="s">
        <v>113</v>
      </c>
      <c r="O9" s="136" t="s">
        <v>88</v>
      </c>
      <c r="P9" s="94"/>
      <c r="R9" s="92"/>
      <c r="S9" t="str">
        <f>CONCATENATE("Alça de ",IF(M16="Selecione","",IF(M16="Manual",N16,M16))," (consulte as cores disponíveis)")</f>
        <v>Alça de  (consulte as cores disponíveis)</v>
      </c>
      <c r="T9" s="94"/>
    </row>
    <row r="10" spans="1:26" x14ac:dyDescent="0.25">
      <c r="B10" s="92"/>
      <c r="C10" s="109"/>
      <c r="D10" s="109"/>
      <c r="E10" s="109"/>
      <c r="F10" s="109"/>
      <c r="G10" s="109"/>
      <c r="H10" s="109"/>
      <c r="I10" s="94"/>
      <c r="K10" s="92"/>
      <c r="L10" s="137">
        <v>5</v>
      </c>
      <c r="M10" s="142">
        <v>10</v>
      </c>
      <c r="N10" s="142">
        <v>20</v>
      </c>
      <c r="O10" s="142" t="str">
        <f>IF(L10="","",IF(M10="",L10&amp;" cm",IF(N10="",L10&amp;"x"&amp;M10&amp;" cm",L10&amp;"x"&amp;M10&amp;"x"&amp;N10&amp;" cm")))</f>
        <v>5x10x20 cm</v>
      </c>
      <c r="P10" s="94"/>
      <c r="R10" s="92"/>
      <c r="S10" t="str">
        <f>"Papel: "&amp;M7</f>
        <v>Papel: Inválido</v>
      </c>
      <c r="T10" s="94"/>
    </row>
    <row r="11" spans="1:26" x14ac:dyDescent="0.25">
      <c r="B11" s="92"/>
      <c r="I11" s="94"/>
      <c r="K11" s="92"/>
      <c r="L11" s="141"/>
      <c r="M11" s="141"/>
      <c r="N11" s="141"/>
      <c r="O11" s="141"/>
      <c r="P11" s="94"/>
      <c r="R11" s="92"/>
      <c r="S11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4"/>
    </row>
    <row r="12" spans="1:26" x14ac:dyDescent="0.25">
      <c r="B12" s="92"/>
      <c r="C12" s="90" t="s">
        <v>85</v>
      </c>
      <c r="D12" s="109"/>
      <c r="E12" s="109"/>
      <c r="F12" s="109"/>
      <c r="G12" s="109"/>
      <c r="H12" s="109"/>
      <c r="I12" s="94"/>
      <c r="K12" s="92"/>
      <c r="L12" s="136" t="s">
        <v>64</v>
      </c>
      <c r="M12" s="137" t="s">
        <v>107</v>
      </c>
      <c r="N12" s="137" t="str">
        <f>IF(M12&lt;&gt;"1x0","Não se aplica","Selecione")</f>
        <v>Não se aplica</v>
      </c>
      <c r="O12" s="137" t="str">
        <f>IF(N12="Manual","Digite a cor","Não se aplica")</f>
        <v>Não se aplica</v>
      </c>
      <c r="P12" s="94"/>
      <c r="R12" s="92"/>
      <c r="S12" t="str">
        <f>IF(M18=0,"",M18)</f>
        <v>Acabamento / Complemento 1</v>
      </c>
      <c r="T12" s="94"/>
    </row>
    <row r="13" spans="1:26" x14ac:dyDescent="0.25">
      <c r="B13" s="92"/>
      <c r="I13" s="94"/>
      <c r="K13" s="92"/>
      <c r="L13" s="141"/>
      <c r="M13" s="141"/>
      <c r="N13" s="141"/>
      <c r="O13" s="141"/>
      <c r="P13" s="94"/>
      <c r="R13" s="92"/>
      <c r="S13" t="str">
        <f>IF(M20=0,"",M20)</f>
        <v>Acabamento / Complemento 2</v>
      </c>
      <c r="T13" s="94"/>
    </row>
    <row r="14" spans="1:26" x14ac:dyDescent="0.25">
      <c r="B14" s="92"/>
      <c r="C14" s="90" t="s">
        <v>86</v>
      </c>
      <c r="D14" s="109"/>
      <c r="E14" s="109"/>
      <c r="F14" s="109"/>
      <c r="G14" s="109"/>
      <c r="H14" s="109"/>
      <c r="I14" s="94"/>
      <c r="K14" s="92"/>
      <c r="L14" s="136" t="s">
        <v>74</v>
      </c>
      <c r="M14" s="139" t="s">
        <v>107</v>
      </c>
      <c r="N14" s="139"/>
      <c r="O14" s="139"/>
      <c r="P14" s="94"/>
      <c r="R14" s="92"/>
      <c r="S14" t="str">
        <f>IF(M22=0,"",M22)</f>
        <v>Acabamento / Complemento 3</v>
      </c>
      <c r="T14" s="94"/>
    </row>
    <row r="15" spans="1:26" x14ac:dyDescent="0.25">
      <c r="B15" s="92"/>
      <c r="I15" s="94"/>
      <c r="K15" s="92"/>
      <c r="L15" s="141"/>
      <c r="M15" s="141"/>
      <c r="N15" s="141"/>
      <c r="O15" s="141"/>
      <c r="P15" s="94"/>
      <c r="R15" s="92"/>
      <c r="S15" t="str">
        <f>IF(M24=0,"",M24)</f>
        <v>Acabamento / Complemento 4</v>
      </c>
      <c r="T15" s="94"/>
    </row>
    <row r="16" spans="1:26" x14ac:dyDescent="0.25">
      <c r="B16" s="92"/>
      <c r="C16" s="110" t="s">
        <v>108</v>
      </c>
      <c r="D16" s="110"/>
      <c r="E16" s="109"/>
      <c r="F16" s="109"/>
      <c r="G16" s="109"/>
      <c r="H16" s="109"/>
      <c r="I16" s="94"/>
      <c r="K16" s="92"/>
      <c r="L16" s="136" t="s">
        <v>89</v>
      </c>
      <c r="M16" s="137" t="s">
        <v>107</v>
      </c>
      <c r="N16" s="139" t="str">
        <f>IF(M16="Manual","Digite a especificação da alça","Não se aplica")</f>
        <v>Não se aplica</v>
      </c>
      <c r="O16" s="139"/>
      <c r="P16" s="94"/>
      <c r="R16" s="92"/>
      <c r="S16" t="str">
        <f>IF(M26=0,"",M26)</f>
        <v>Acabamento / Complemento 5</v>
      </c>
      <c r="T16" s="94"/>
    </row>
    <row r="17" spans="2:20" x14ac:dyDescent="0.25">
      <c r="B17" s="92"/>
      <c r="I17" s="94"/>
      <c r="K17" s="92"/>
      <c r="L17" s="141"/>
      <c r="M17" s="141"/>
      <c r="N17" s="141"/>
      <c r="O17" s="141"/>
      <c r="P17" s="94"/>
      <c r="R17" s="92"/>
      <c r="S17" t="str">
        <f>IF(M28=0,"",M28)</f>
        <v>Acabamento / Complemento 6</v>
      </c>
      <c r="T17" s="94"/>
    </row>
    <row r="18" spans="2:20" x14ac:dyDescent="0.25">
      <c r="B18" s="92"/>
      <c r="C18" s="110" t="s">
        <v>109</v>
      </c>
      <c r="D18" s="110"/>
      <c r="E18" s="109">
        <v>5</v>
      </c>
      <c r="F18" s="109"/>
      <c r="G18" s="109"/>
      <c r="H18" s="109"/>
      <c r="I18" s="94"/>
      <c r="K18" s="92"/>
      <c r="L18" s="136" t="s">
        <v>90</v>
      </c>
      <c r="M18" s="139" t="s">
        <v>91</v>
      </c>
      <c r="N18" s="139"/>
      <c r="O18" s="139"/>
      <c r="P18" s="94"/>
      <c r="R18" s="92"/>
      <c r="T18" s="94"/>
    </row>
    <row r="19" spans="2:20" x14ac:dyDescent="0.25">
      <c r="B19" s="92"/>
      <c r="I19" s="94"/>
      <c r="K19" s="92"/>
      <c r="L19" s="141"/>
      <c r="M19" s="141"/>
      <c r="N19" s="141"/>
      <c r="O19" s="141"/>
      <c r="P19" s="94"/>
      <c r="R19" s="92"/>
      <c r="S19" t="s">
        <v>24</v>
      </c>
      <c r="T19" s="94"/>
    </row>
    <row r="20" spans="2:20" x14ac:dyDescent="0.25">
      <c r="B20" s="92"/>
      <c r="C20" s="110" t="s">
        <v>110</v>
      </c>
      <c r="D20" s="110"/>
      <c r="E20" s="110"/>
      <c r="F20" s="109" t="s">
        <v>87</v>
      </c>
      <c r="G20" s="109"/>
      <c r="H20" s="109"/>
      <c r="I20" s="94"/>
      <c r="K20" s="92"/>
      <c r="L20" s="136" t="s">
        <v>92</v>
      </c>
      <c r="M20" s="139" t="s">
        <v>93</v>
      </c>
      <c r="N20" s="139"/>
      <c r="O20" s="139"/>
      <c r="P20" s="94"/>
      <c r="R20" s="92"/>
      <c r="S20" t="s">
        <v>25</v>
      </c>
      <c r="T20" s="94"/>
    </row>
    <row r="21" spans="2:20" x14ac:dyDescent="0.25">
      <c r="B21" s="93"/>
      <c r="C21" s="91"/>
      <c r="D21" s="91"/>
      <c r="E21" s="91"/>
      <c r="F21" s="91"/>
      <c r="G21" s="91"/>
      <c r="H21" s="91"/>
      <c r="I21" s="95"/>
      <c r="K21" s="92"/>
      <c r="L21" s="141"/>
      <c r="M21" s="141"/>
      <c r="N21" s="141"/>
      <c r="O21" s="141"/>
      <c r="P21" s="94"/>
      <c r="R21" s="92"/>
      <c r="T21" s="94"/>
    </row>
    <row r="22" spans="2:20" x14ac:dyDescent="0.25">
      <c r="K22" s="92"/>
      <c r="L22" s="136" t="s">
        <v>94</v>
      </c>
      <c r="M22" s="139" t="s">
        <v>95</v>
      </c>
      <c r="N22" s="139"/>
      <c r="O22" s="139"/>
      <c r="P22" s="94"/>
      <c r="R22" s="92"/>
      <c r="S22" t="str">
        <f>Dados!$BB$6</f>
        <v>*250 unidades / R$ 0,00 a unidade*</v>
      </c>
      <c r="T22" s="94"/>
    </row>
    <row r="23" spans="2:20" x14ac:dyDescent="0.25">
      <c r="K23" s="92"/>
      <c r="L23" s="141"/>
      <c r="M23" s="141"/>
      <c r="N23" s="141"/>
      <c r="O23" s="141"/>
      <c r="P23" s="94"/>
      <c r="R23" s="92"/>
      <c r="S23" t="str">
        <f>Dados!$BB$7</f>
        <v>2x R$ 0,00 / Total: R$ 0,00</v>
      </c>
      <c r="T23" s="94"/>
    </row>
    <row r="24" spans="2:20" x14ac:dyDescent="0.25">
      <c r="K24" s="92"/>
      <c r="L24" s="136" t="s">
        <v>96</v>
      </c>
      <c r="M24" s="140" t="s">
        <v>97</v>
      </c>
      <c r="N24" s="140"/>
      <c r="O24" s="140"/>
      <c r="P24" s="94"/>
      <c r="R24" s="92"/>
      <c r="T24" s="94"/>
    </row>
    <row r="25" spans="2:20" x14ac:dyDescent="0.25">
      <c r="K25" s="92"/>
      <c r="L25" s="141"/>
      <c r="M25" s="141"/>
      <c r="N25" s="141"/>
      <c r="O25" s="141"/>
      <c r="P25" s="94"/>
      <c r="R25" s="92"/>
      <c r="S25" t="str">
        <f>Dados!$BB$9</f>
        <v>*500 unidades / R$ 0,00 a unidade*</v>
      </c>
      <c r="T25" s="94"/>
    </row>
    <row r="26" spans="2:20" x14ac:dyDescent="0.25">
      <c r="K26" s="92"/>
      <c r="L26" s="136" t="s">
        <v>98</v>
      </c>
      <c r="M26" s="139" t="s">
        <v>99</v>
      </c>
      <c r="N26" s="139"/>
      <c r="O26" s="139"/>
      <c r="P26" s="94"/>
      <c r="R26" s="92"/>
      <c r="S26" t="str">
        <f>Dados!$BB$10</f>
        <v>2x R$ 0,00 / Total: R$ 0,00</v>
      </c>
      <c r="T26" s="94"/>
    </row>
    <row r="27" spans="2:20" x14ac:dyDescent="0.25">
      <c r="K27" s="92"/>
      <c r="L27" s="141"/>
      <c r="M27" s="141"/>
      <c r="N27" s="141"/>
      <c r="O27" s="141"/>
      <c r="P27" s="94"/>
      <c r="R27" s="92"/>
      <c r="T27" s="94"/>
    </row>
    <row r="28" spans="2:20" x14ac:dyDescent="0.25">
      <c r="K28" s="92"/>
      <c r="L28" s="136" t="s">
        <v>100</v>
      </c>
      <c r="M28" s="139" t="s">
        <v>101</v>
      </c>
      <c r="N28" s="139"/>
      <c r="O28" s="139"/>
      <c r="P28" s="94"/>
      <c r="R28" s="92"/>
      <c r="S28" t="str">
        <f>Dados!$BB$12</f>
        <v>*1000 unidades / R$ 0,00 a unidade*</v>
      </c>
      <c r="T28" s="94"/>
    </row>
    <row r="29" spans="2:20" x14ac:dyDescent="0.25">
      <c r="K29" s="93"/>
      <c r="L29" s="91"/>
      <c r="M29" s="91"/>
      <c r="N29" s="91"/>
      <c r="O29" s="91"/>
      <c r="P29" s="95"/>
      <c r="R29" s="92"/>
      <c r="S29" t="str">
        <f>Dados!$BB$13</f>
        <v>2x R$ 0,00 / Total: R$ 0,00</v>
      </c>
      <c r="T29" s="94"/>
    </row>
    <row r="30" spans="2:20" x14ac:dyDescent="0.25">
      <c r="R30" s="92"/>
      <c r="T30" s="94"/>
    </row>
    <row r="31" spans="2:20" x14ac:dyDescent="0.25">
      <c r="R31" s="92"/>
      <c r="S31" t="str">
        <f>Dados!$BB$15</f>
        <v>*2000 unidades / R$ 0,00 a unidade*</v>
      </c>
      <c r="T31" s="94"/>
    </row>
    <row r="32" spans="2:20" x14ac:dyDescent="0.25">
      <c r="R32" s="92"/>
      <c r="S32" t="str">
        <f>Dados!$BB$16</f>
        <v>2x R$ 0,00 / Total: R$ 0,00</v>
      </c>
      <c r="T32" s="94"/>
    </row>
    <row r="33" spans="18:20" x14ac:dyDescent="0.25">
      <c r="R33" s="92"/>
      <c r="T33" s="94"/>
    </row>
    <row r="34" spans="18:20" x14ac:dyDescent="0.25">
      <c r="R34" s="97"/>
      <c r="S34" s="96"/>
      <c r="T34" s="98"/>
    </row>
    <row r="35" spans="18:20" x14ac:dyDescent="0.25">
      <c r="R35" s="92"/>
      <c r="T35" s="94"/>
    </row>
    <row r="36" spans="18:20" x14ac:dyDescent="0.25">
      <c r="R36" s="92"/>
      <c r="S36" t="s">
        <v>46</v>
      </c>
      <c r="T36" s="94"/>
    </row>
    <row r="37" spans="18:20" x14ac:dyDescent="0.25">
      <c r="R37" s="92"/>
      <c r="T37" s="94"/>
    </row>
    <row r="38" spans="18:20" x14ac:dyDescent="0.25">
      <c r="R38" s="92"/>
      <c r="S38" t="str">
        <f>Dados!$BB$21</f>
        <v>*250 unidades / R$ 0,00 a unidade*</v>
      </c>
      <c r="T38" s="94"/>
    </row>
    <row r="39" spans="18:20" x14ac:dyDescent="0.25">
      <c r="R39" s="92"/>
      <c r="S39" t="str">
        <f>Dados!$BB$22</f>
        <v>3x R$ 0,00 / Total: R$ 0,00</v>
      </c>
      <c r="T39" s="94"/>
    </row>
    <row r="40" spans="18:20" x14ac:dyDescent="0.25">
      <c r="R40" s="92"/>
      <c r="T40" s="94"/>
    </row>
    <row r="41" spans="18:20" x14ac:dyDescent="0.25">
      <c r="R41" s="92"/>
      <c r="S41" t="str">
        <f>Dados!$BB$24</f>
        <v>*500 unidades / R$ 0,00 a unidade*</v>
      </c>
      <c r="T41" s="94"/>
    </row>
    <row r="42" spans="18:20" x14ac:dyDescent="0.25">
      <c r="R42" s="92"/>
      <c r="S42" t="str">
        <f>Dados!$BB$25</f>
        <v>3x R$ 0,00 / Total: R$ 0,00</v>
      </c>
      <c r="T42" s="94"/>
    </row>
    <row r="43" spans="18:20" x14ac:dyDescent="0.25">
      <c r="R43" s="92"/>
      <c r="T43" s="94"/>
    </row>
    <row r="44" spans="18:20" x14ac:dyDescent="0.25">
      <c r="R44" s="92"/>
      <c r="S44" t="str">
        <f>Dados!$BB$27</f>
        <v>*1000 unidades / R$ 0,00 a unidade*</v>
      </c>
      <c r="T44" s="94"/>
    </row>
    <row r="45" spans="18:20" x14ac:dyDescent="0.25">
      <c r="R45" s="92"/>
      <c r="S45" t="str">
        <f>Dados!$BB$28</f>
        <v>3x R$ 0,00 / Total: R$ 0,00</v>
      </c>
      <c r="T45" s="94"/>
    </row>
    <row r="46" spans="18:20" x14ac:dyDescent="0.25">
      <c r="R46" s="92"/>
      <c r="T46" s="94"/>
    </row>
    <row r="47" spans="18:20" x14ac:dyDescent="0.25">
      <c r="R47" s="92"/>
      <c r="S47" t="str">
        <f>Dados!$BB$30</f>
        <v>*2000 unidades / R$ 0,00 a unidade*</v>
      </c>
      <c r="T47" s="94"/>
    </row>
    <row r="48" spans="18:20" x14ac:dyDescent="0.25">
      <c r="R48" s="92"/>
      <c r="S48" t="str">
        <f>Dados!$BB$31</f>
        <v>3x R$ 0,00 / Total: R$ 0,00</v>
      </c>
      <c r="T48" s="94"/>
    </row>
    <row r="49" spans="18:20" x14ac:dyDescent="0.25">
      <c r="R49" s="93"/>
      <c r="S49" s="91"/>
      <c r="T49" s="95"/>
    </row>
  </sheetData>
  <sheetProtection selectLockedCells="1"/>
  <mergeCells count="28">
    <mergeCell ref="C7:H7"/>
    <mergeCell ref="C9:H9"/>
    <mergeCell ref="C10:H10"/>
    <mergeCell ref="D12:H12"/>
    <mergeCell ref="D14:H14"/>
    <mergeCell ref="B2:I2"/>
    <mergeCell ref="C4:D4"/>
    <mergeCell ref="E4:H4"/>
    <mergeCell ref="C6:H6"/>
    <mergeCell ref="R2:T2"/>
    <mergeCell ref="K2:P2"/>
    <mergeCell ref="L4:O4"/>
    <mergeCell ref="L5:O5"/>
    <mergeCell ref="E16:H16"/>
    <mergeCell ref="C18:D18"/>
    <mergeCell ref="E18:H18"/>
    <mergeCell ref="C20:E20"/>
    <mergeCell ref="F20:H20"/>
    <mergeCell ref="C16:D16"/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</mergeCells>
  <conditionalFormatting sqref="AA1:XEZ1048576">
    <cfRule type="containsText" dxfId="52" priority="38" operator="containsText" text="Inválido">
      <formula>NOT(ISERROR(SEARCH("Inválido",AA1)))</formula>
    </cfRule>
    <cfRule type="containsText" dxfId="51" priority="39" operator="containsText" text="Não se aplica">
      <formula>NOT(ISERROR(SEARCH("Não se aplica",AA1)))</formula>
    </cfRule>
  </conditionalFormatting>
  <conditionalFormatting sqref="XFD1:XFD1048576">
    <cfRule type="containsText" dxfId="50" priority="28" operator="containsText" text="Selecione">
      <formula>NOT(ISERROR(SEARCH("Selecione",XFD1)))</formula>
    </cfRule>
    <cfRule type="containsText" dxfId="49" priority="29" operator="containsText" text="Inválido">
      <formula>NOT(ISERROR(SEARCH("Inválido",XFD1)))</formula>
    </cfRule>
    <cfRule type="containsText" dxfId="48" priority="30" operator="containsText" text="Não se aplica">
      <formula>NOT(ISERROR(SEARCH("Não se aplica",XFD1)))</formula>
    </cfRule>
  </conditionalFormatting>
  <conditionalFormatting sqref="AA1:XFD1048576">
    <cfRule type="containsText" dxfId="47" priority="25" operator="containsText" text="Não se aplica">
      <formula>NOT(ISERROR(SEARCH("Não se aplica",AA1)))</formula>
    </cfRule>
    <cfRule type="containsText" dxfId="46" priority="26" operator="containsText" text="Inválido">
      <formula>NOT(ISERROR(SEARCH("Inválido",AA1)))</formula>
    </cfRule>
    <cfRule type="containsText" dxfId="45" priority="27" operator="containsText" text="Selecione">
      <formula>NOT(ISERROR(SEARCH("Selecione",AA1)))</formula>
    </cfRule>
  </conditionalFormatting>
  <conditionalFormatting sqref="AA1:XFD1048576">
    <cfRule type="containsText" dxfId="44" priority="22" operator="containsText" text="Não se aplica">
      <formula>NOT(ISERROR(SEARCH("Não se aplica",AA1)))</formula>
    </cfRule>
    <cfRule type="containsText" dxfId="43" priority="23" operator="containsText" text="Inválido">
      <formula>NOT(ISERROR(SEARCH("Inválido",AA1)))</formula>
    </cfRule>
    <cfRule type="containsText" dxfId="42" priority="24" operator="containsText" text="Selecione">
      <formula>NOT(ISERROR(SEARCH("Selecione",AA1)))</formula>
    </cfRule>
  </conditionalFormatting>
  <conditionalFormatting sqref="AA1:XFD1048576">
    <cfRule type="containsText" dxfId="41" priority="19" operator="containsText" text="Não se aplica">
      <formula>NOT(ISERROR(SEARCH("Não se aplica",AA1)))</formula>
    </cfRule>
    <cfRule type="containsText" dxfId="40" priority="20" operator="containsText" text="Inválido">
      <formula>NOT(ISERROR(SEARCH("Inválido",AA1)))</formula>
    </cfRule>
    <cfRule type="containsText" dxfId="39" priority="21" operator="containsText" text="Selecione">
      <formula>NOT(ISERROR(SEARCH("Selecione",AA1)))</formula>
    </cfRule>
  </conditionalFormatting>
  <conditionalFormatting sqref="AA1:XFD1048576">
    <cfRule type="containsText" dxfId="38" priority="16" operator="containsText" text="Não se aplica">
      <formula>NOT(ISERROR(SEARCH("Não se aplica",AA1)))</formula>
    </cfRule>
    <cfRule type="containsText" dxfId="37" priority="17" operator="containsText" text="Inválido">
      <formula>NOT(ISERROR(SEARCH("Inválido",AA1)))</formula>
    </cfRule>
    <cfRule type="containsText" dxfId="36" priority="18" operator="containsText" text="Selecione">
      <formula>NOT(ISERROR(SEARCH("Selecione",AA1)))</formula>
    </cfRule>
  </conditionalFormatting>
  <conditionalFormatting sqref="AA1:XFD1048576">
    <cfRule type="containsText" dxfId="35" priority="13" operator="containsText" text="Não se aplica">
      <formula>NOT(ISERROR(SEARCH("Não se aplica",AA1)))</formula>
    </cfRule>
    <cfRule type="containsText" dxfId="34" priority="14" operator="containsText" text="Inválido">
      <formula>NOT(ISERROR(SEARCH("Inválido",AA1)))</formula>
    </cfRule>
    <cfRule type="containsText" dxfId="33" priority="15" operator="containsText" text="Selecione">
      <formula>NOT(ISERROR(SEARCH("Selecione",AA1)))</formula>
    </cfRule>
  </conditionalFormatting>
  <conditionalFormatting sqref="AA1:XFD1048576">
    <cfRule type="containsText" dxfId="32" priority="10" operator="containsText" text="Não se aplica">
      <formula>NOT(ISERROR(SEARCH("Não se aplica",AA1)))</formula>
    </cfRule>
    <cfRule type="containsText" dxfId="31" priority="11" operator="containsText" text="Inválido">
      <formula>NOT(ISERROR(SEARCH("Inválido",AA1)))</formula>
    </cfRule>
    <cfRule type="containsText" dxfId="30" priority="12" operator="containsText" text="Selecione">
      <formula>NOT(ISERROR(SEARCH("Selecione",AA1)))</formula>
    </cfRule>
  </conditionalFormatting>
  <conditionalFormatting sqref="AA1:XFD1048576">
    <cfRule type="containsText" dxfId="29" priority="7" operator="containsText" text="Não se aplica">
      <formula>NOT(ISERROR(SEARCH("Não se aplica",AA1)))</formula>
    </cfRule>
    <cfRule type="containsText" dxfId="28" priority="8" operator="containsText" text="Inválido">
      <formula>NOT(ISERROR(SEARCH("Inválido",AA1)))</formula>
    </cfRule>
    <cfRule type="containsText" dxfId="27" priority="9" operator="containsText" text="Selecione">
      <formula>NOT(ISERROR(SEARCH("Selecione",AA1)))</formula>
    </cfRule>
  </conditionalFormatting>
  <conditionalFormatting sqref="AA1:XFD1048576">
    <cfRule type="containsText" dxfId="26" priority="4" operator="containsText" text="Não se aplica">
      <formula>NOT(ISERROR(SEARCH("Não se aplica",AA1)))</formula>
    </cfRule>
    <cfRule type="containsText" dxfId="25" priority="5" operator="containsText" text="Inválido">
      <formula>NOT(ISERROR(SEARCH("Inválido",AA1)))</formula>
    </cfRule>
    <cfRule type="containsText" dxfId="24" priority="6" operator="containsText" text="Selecione">
      <formula>NOT(ISERROR(SEARCH("Selecione",AA1)))</formula>
    </cfRule>
  </conditionalFormatting>
  <conditionalFormatting sqref="A2:B2 A4:C4 E4 A8:J8 A6:C7 A11:J11 A9:C10 I9:J10 A12:D12 A14:D14 A16:C16 E16 A18:C18 E18 A20:C20 F20 Q2:R2 U2:XFD2 A13:J13 I12:J12 I6:J7 A1:XFD1 A3:XFD3 J2:K2 K6:XFD6 I4:L4 A5:L5 P4:XFD5 K8:XFD13 K7:M7 P7:XFD7 A15:XFD15 I14:M14 P14:XFD14 A17:XFD17 I16:N16 P16:XFD16 A19:XFD19 I18:M18 P18:XFD18 A21:XFD21 I20:M20 P20:XFD20 A23:XFD23 A22:M22 P22:XFD22 A25:XFD25 A24:M24 P24:XFD24 A27:XFD27 A26:M26 P26:XFD26 A29:XFD1048576 A28:M28 P28:XFD28">
    <cfRule type="containsText" dxfId="23" priority="1" operator="containsText" text="Não se aplica">
      <formula>NOT(ISERROR(SEARCH("Não se aplica",A1)))</formula>
    </cfRule>
    <cfRule type="containsText" dxfId="22" priority="2" operator="containsText" text="Inválido">
      <formula>NOT(ISERROR(SEARCH("Inválido",A1)))</formula>
    </cfRule>
    <cfRule type="containsText" dxfId="21" priority="3" operator="containsText" text="Selecione">
      <formula>NOT(ISERROR(SEARCH("Selecione",A1)))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9" zoomScale="160" zoomScaleNormal="160" workbookViewId="0">
      <selection activeCell="B20" sqref="B20:F20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27" t="s">
        <v>102</v>
      </c>
      <c r="I2" s="127"/>
      <c r="J2" s="128" t="str">
        <f>IF(Especificações!E4=0,"",Especificações!E4)</f>
        <v/>
      </c>
      <c r="K2" s="128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9" t="s">
        <v>47</v>
      </c>
      <c r="D4" s="129"/>
      <c r="E4" s="118">
        <f ca="1">TODAY()</f>
        <v>45032</v>
      </c>
      <c r="F4" s="118"/>
      <c r="G4" s="118"/>
      <c r="H4" s="118"/>
      <c r="I4" s="118"/>
      <c r="J4" s="118"/>
      <c r="K4" s="118"/>
      <c r="L4" s="118"/>
      <c r="M4" s="118"/>
      <c r="N4" s="118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30" t="str">
        <f>IF(Especificações!S4=0,"",Especificações!S4)</f>
        <v>Nome do Material</v>
      </c>
      <c r="C14" s="130"/>
      <c r="D14" s="130"/>
      <c r="E14" s="130"/>
      <c r="F14" s="130"/>
      <c r="G14" s="130"/>
      <c r="H14" s="130"/>
      <c r="I14" s="130"/>
      <c r="J14" s="130"/>
      <c r="K14" s="130"/>
    </row>
    <row r="15" spans="2:14" ht="15" customHeight="1" x14ac:dyDescent="0.25">
      <c r="B15" s="130"/>
      <c r="C15" s="130"/>
      <c r="D15" s="130"/>
      <c r="E15" s="130"/>
      <c r="F15" s="130"/>
      <c r="G15" s="130"/>
      <c r="H15" s="130"/>
      <c r="I15" s="130"/>
      <c r="J15" s="130"/>
      <c r="K15" s="130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>Tamanho: 5x10x20 cm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5cm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10cm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20cm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Alça de  (consulte as cores disponíveis)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6" t="s">
        <v>24</v>
      </c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 t="s">
        <v>25</v>
      </c>
      <c r="C26" s="126"/>
      <c r="D26" s="126"/>
      <c r="E26" s="126"/>
      <c r="F26" s="126"/>
      <c r="G26" s="126"/>
      <c r="H26" s="126"/>
      <c r="I26" s="126"/>
      <c r="J26" s="126"/>
      <c r="K26" s="126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3" t="s">
        <v>46</v>
      </c>
      <c r="C34" s="123"/>
      <c r="D34" s="123"/>
      <c r="E34" s="123"/>
      <c r="F34" s="123"/>
      <c r="G34" s="123"/>
      <c r="H34" s="123"/>
      <c r="I34" s="123"/>
      <c r="J34" s="123"/>
      <c r="K34" s="123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19">
        <f>'Tiragem - 1'!$L$16</f>
        <v>250</v>
      </c>
      <c r="D37" s="120"/>
      <c r="E37" s="121">
        <f>'Tiragem - 1'!$L$26</f>
        <v>0</v>
      </c>
      <c r="F37" s="122"/>
      <c r="G37" s="70" t="str">
        <f>'Tiragem - 1'!$L$29&amp;"x"</f>
        <v>3x</v>
      </c>
      <c r="H37" s="69">
        <f>'Tiragem - 1'!$L$24</f>
        <v>0</v>
      </c>
      <c r="I37" s="121">
        <f>'Tiragem - 1'!$L$25</f>
        <v>0</v>
      </c>
      <c r="J37" s="122"/>
    </row>
    <row r="38" spans="2:11" x14ac:dyDescent="0.25">
      <c r="C38" s="119">
        <f>'Tiragem - 2'!$L$16</f>
        <v>500</v>
      </c>
      <c r="D38" s="120"/>
      <c r="E38" s="121">
        <f>'Tiragem - 2'!$L$26</f>
        <v>0</v>
      </c>
      <c r="F38" s="122"/>
      <c r="G38" s="70" t="str">
        <f>'Tiragem - 2'!$L$29&amp;"x"</f>
        <v>3x</v>
      </c>
      <c r="H38" s="69">
        <f>'Tiragem - 2'!$L$24</f>
        <v>0</v>
      </c>
      <c r="I38" s="121">
        <f>'Tiragem - 2'!$L$25</f>
        <v>0</v>
      </c>
      <c r="J38" s="122"/>
    </row>
    <row r="39" spans="2:11" x14ac:dyDescent="0.25">
      <c r="C39" s="119">
        <f>'Tiragem - 3'!$L$16</f>
        <v>1000</v>
      </c>
      <c r="D39" s="120"/>
      <c r="E39" s="121">
        <f>'Tiragem - 3'!$L$26</f>
        <v>0</v>
      </c>
      <c r="F39" s="122"/>
      <c r="G39" s="70" t="str">
        <f>'Tiragem - 3'!$L$29&amp;"x"</f>
        <v>3x</v>
      </c>
      <c r="H39" s="69">
        <f>'Tiragem - 3'!$L$24</f>
        <v>0</v>
      </c>
      <c r="I39" s="121">
        <f>'Tiragem - 3'!$L$25</f>
        <v>0</v>
      </c>
      <c r="J39" s="122"/>
    </row>
    <row r="40" spans="2:11" x14ac:dyDescent="0.25">
      <c r="C40" s="119">
        <f>'Tiragem - 4'!$L$16</f>
        <v>2000</v>
      </c>
      <c r="D40" s="120"/>
      <c r="E40" s="121">
        <f>'Tiragem - 4'!$L$26</f>
        <v>0</v>
      </c>
      <c r="F40" s="122"/>
      <c r="G40" s="70" t="str">
        <f>'Tiragem - 4'!$L$29&amp;"x"</f>
        <v>3x</v>
      </c>
      <c r="H40" s="69">
        <f>'Tiragem - 4'!$L$24</f>
        <v>0</v>
      </c>
      <c r="I40" s="121">
        <f>'Tiragem - 4'!$L$25</f>
        <v>0</v>
      </c>
      <c r="J40" s="122"/>
    </row>
    <row r="41" spans="2:11" x14ac:dyDescent="0.25">
      <c r="E41"/>
    </row>
    <row r="42" spans="2:11" ht="15" customHeight="1" x14ac:dyDescent="0.25">
      <c r="C42" s="114" t="s">
        <v>51</v>
      </c>
      <c r="D42" s="114"/>
      <c r="E42" s="114"/>
      <c r="F42" s="114"/>
      <c r="G42" s="114"/>
      <c r="H42" s="114"/>
      <c r="I42" s="114"/>
      <c r="J42" s="114"/>
    </row>
    <row r="43" spans="2:11" ht="15" customHeight="1" x14ac:dyDescent="0.25">
      <c r="C43" s="114"/>
      <c r="D43" s="114"/>
      <c r="E43" s="114"/>
      <c r="F43" s="114"/>
      <c r="G43" s="114"/>
      <c r="H43" s="114"/>
      <c r="I43" s="114"/>
      <c r="J43" s="114"/>
    </row>
    <row r="44" spans="2:11" x14ac:dyDescent="0.25">
      <c r="C44" s="114"/>
      <c r="D44" s="114"/>
      <c r="E44" s="114"/>
      <c r="F44" s="114"/>
      <c r="G44" s="114"/>
      <c r="H44" s="114"/>
      <c r="I44" s="114"/>
      <c r="J44" s="114"/>
    </row>
    <row r="45" spans="2:11" x14ac:dyDescent="0.25">
      <c r="E45"/>
    </row>
    <row r="46" spans="2:11" x14ac:dyDescent="0.25">
      <c r="C46" s="115" t="s">
        <v>44</v>
      </c>
      <c r="D46" s="115"/>
      <c r="E46" s="116" t="str">
        <f>IF(Especificações!E16=0,"",Especificações!E16)</f>
        <v/>
      </c>
      <c r="F46" s="116"/>
      <c r="G46" s="116"/>
      <c r="H46" s="116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D8:K8"/>
    <mergeCell ref="D10:K10"/>
    <mergeCell ref="D12:K12"/>
    <mergeCell ref="B14:K15"/>
    <mergeCell ref="B17:F17"/>
    <mergeCell ref="G17:K17"/>
    <mergeCell ref="H2:I2"/>
    <mergeCell ref="J2:K2"/>
    <mergeCell ref="C4:D4"/>
    <mergeCell ref="E4:K4"/>
    <mergeCell ref="D6:K6"/>
    <mergeCell ref="G18:K18"/>
    <mergeCell ref="B19:F19"/>
    <mergeCell ref="G19:K19"/>
    <mergeCell ref="B20:F20"/>
    <mergeCell ref="G20:K20"/>
    <mergeCell ref="B18:F18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I38:J38"/>
    <mergeCell ref="B34:K34"/>
    <mergeCell ref="C36:D36"/>
    <mergeCell ref="E36:F36"/>
    <mergeCell ref="G36:H36"/>
    <mergeCell ref="I36:J36"/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BC50"/>
  <sheetViews>
    <sheetView topLeftCell="AG1" workbookViewId="0">
      <selection activeCell="BB35" sqref="BB35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2" width="2.85546875" customWidth="1"/>
    <col min="16" max="16" width="2.85546875" customWidth="1"/>
    <col min="17" max="17" width="28.7109375" bestFit="1" customWidth="1"/>
    <col min="18" max="18" width="18.140625" customWidth="1"/>
    <col min="52" max="53" width="2.85546875" customWidth="1"/>
    <col min="54" max="54" width="62.140625" customWidth="1"/>
    <col min="55" max="56" width="2.85546875" customWidth="1"/>
  </cols>
  <sheetData>
    <row r="2" spans="2:55" ht="15" customHeight="1" x14ac:dyDescent="0.25">
      <c r="B2" s="87" t="s">
        <v>59</v>
      </c>
      <c r="C2" s="79"/>
      <c r="D2" s="131" t="s">
        <v>64</v>
      </c>
      <c r="E2" s="131"/>
      <c r="F2" s="79"/>
      <c r="G2" s="87" t="s">
        <v>69</v>
      </c>
      <c r="I2" s="88" t="s">
        <v>74</v>
      </c>
      <c r="K2" s="88" t="s">
        <v>79</v>
      </c>
      <c r="BA2" s="132" t="s">
        <v>111</v>
      </c>
      <c r="BB2" s="132"/>
      <c r="BC2" s="132"/>
    </row>
    <row r="3" spans="2:55" ht="15" customHeight="1" x14ac:dyDescent="0.25">
      <c r="B3" s="86" t="s">
        <v>60</v>
      </c>
      <c r="C3" s="79"/>
      <c r="D3" s="71" t="s">
        <v>64</v>
      </c>
      <c r="E3" s="71" t="s">
        <v>13</v>
      </c>
      <c r="G3" s="72" t="s">
        <v>69</v>
      </c>
      <c r="I3" s="86" t="s">
        <v>74</v>
      </c>
      <c r="K3" s="86" t="s">
        <v>79</v>
      </c>
      <c r="BA3" s="80"/>
      <c r="BB3" t="s">
        <v>24</v>
      </c>
      <c r="BC3" s="81"/>
    </row>
    <row r="4" spans="2:55" x14ac:dyDescent="0.25">
      <c r="B4" s="86" t="s">
        <v>61</v>
      </c>
      <c r="D4" s="86" t="s">
        <v>65</v>
      </c>
      <c r="E4" s="71" t="s">
        <v>73</v>
      </c>
      <c r="G4" s="72" t="s">
        <v>70</v>
      </c>
      <c r="I4" s="86" t="s">
        <v>75</v>
      </c>
      <c r="K4" s="86" t="s">
        <v>80</v>
      </c>
      <c r="BA4" s="80"/>
      <c r="BB4" t="s">
        <v>25</v>
      </c>
      <c r="BC4" s="81"/>
    </row>
    <row r="5" spans="2:55" x14ac:dyDescent="0.25">
      <c r="B5" s="86" t="s">
        <v>77</v>
      </c>
      <c r="D5" s="86" t="s">
        <v>66</v>
      </c>
      <c r="E5" s="71" t="s">
        <v>72</v>
      </c>
      <c r="G5" s="72" t="s">
        <v>71</v>
      </c>
      <c r="I5" s="86" t="s">
        <v>76</v>
      </c>
      <c r="K5" s="86"/>
      <c r="BA5" s="80"/>
      <c r="BC5" s="81"/>
    </row>
    <row r="6" spans="2:55" x14ac:dyDescent="0.25">
      <c r="B6" s="86" t="s">
        <v>62</v>
      </c>
      <c r="D6" s="86" t="s">
        <v>67</v>
      </c>
      <c r="E6" s="71" t="s">
        <v>72</v>
      </c>
      <c r="G6" s="72"/>
      <c r="I6" s="86"/>
      <c r="K6" s="86"/>
      <c r="BA6" s="80"/>
      <c r="BB6" t="str">
        <f>'Tiragem - 1'!$U$5</f>
        <v>*250 unidades / R$ 0,00 a unidade*</v>
      </c>
      <c r="BC6" s="81"/>
    </row>
    <row r="7" spans="2:55" x14ac:dyDescent="0.25">
      <c r="B7" s="86" t="s">
        <v>78</v>
      </c>
      <c r="D7" s="86" t="s">
        <v>68</v>
      </c>
      <c r="E7" s="71" t="s">
        <v>72</v>
      </c>
      <c r="G7" s="72"/>
      <c r="I7" s="86"/>
      <c r="K7" s="86"/>
      <c r="BA7" s="80"/>
      <c r="BB7" t="str">
        <f>'Tiragem - 1'!$U$6</f>
        <v>2x R$ 0,00 / Total: R$ 0,00</v>
      </c>
      <c r="BC7" s="81"/>
    </row>
    <row r="8" spans="2:55" x14ac:dyDescent="0.25">
      <c r="B8" s="86"/>
      <c r="D8" s="86"/>
      <c r="E8" s="71"/>
      <c r="G8" s="72"/>
      <c r="I8" s="86"/>
      <c r="K8" s="86"/>
      <c r="BA8" s="80"/>
      <c r="BC8" s="81"/>
    </row>
    <row r="9" spans="2:55" x14ac:dyDescent="0.25">
      <c r="B9" s="86"/>
      <c r="K9" s="86"/>
      <c r="BA9" s="80"/>
      <c r="BB9" t="str">
        <f>'Tiragem - 2'!$U$5</f>
        <v>*500 unidades / R$ 0,00 a unidade*</v>
      </c>
      <c r="BC9" s="81"/>
    </row>
    <row r="10" spans="2:55" x14ac:dyDescent="0.25">
      <c r="B10" s="86"/>
      <c r="K10" s="86"/>
      <c r="BA10" s="80"/>
      <c r="BB10" t="str">
        <f>'Tiragem - 2'!$U$6</f>
        <v>2x R$ 0,00 / Total: R$ 0,00</v>
      </c>
      <c r="BC10" s="81"/>
    </row>
    <row r="11" spans="2:55" x14ac:dyDescent="0.25">
      <c r="B11" s="86"/>
      <c r="K11" s="86"/>
      <c r="BA11" s="80"/>
      <c r="BC11" s="81"/>
    </row>
    <row r="12" spans="2:55" x14ac:dyDescent="0.25">
      <c r="B12" s="86"/>
      <c r="K12" s="86"/>
      <c r="BA12" s="80"/>
      <c r="BB12" t="str">
        <f>'Tiragem - 3'!$U$5</f>
        <v>*1000 unidades / R$ 0,00 a unidade*</v>
      </c>
      <c r="BC12" s="81"/>
    </row>
    <row r="13" spans="2:55" x14ac:dyDescent="0.25">
      <c r="B13" s="86"/>
      <c r="K13" s="86"/>
      <c r="BA13" s="80"/>
      <c r="BB13" t="str">
        <f>'Tiragem - 3'!$U$6</f>
        <v>2x R$ 0,00 / Total: R$ 0,00</v>
      </c>
      <c r="BC13" s="81"/>
    </row>
    <row r="14" spans="2:55" x14ac:dyDescent="0.25">
      <c r="B14" s="86"/>
      <c r="BA14" s="80"/>
      <c r="BC14" s="81"/>
    </row>
    <row r="15" spans="2:55" x14ac:dyDescent="0.25">
      <c r="B15" s="86"/>
      <c r="BA15" s="80"/>
      <c r="BB15" t="str">
        <f>'Tiragem - 4'!$U$5</f>
        <v>*2000 unidades / R$ 0,00 a unidade*</v>
      </c>
      <c r="BC15" s="81"/>
    </row>
    <row r="16" spans="2:55" x14ac:dyDescent="0.25">
      <c r="B16" s="86"/>
      <c r="BA16" s="80"/>
      <c r="BB16" t="str">
        <f>'Tiragem - 4'!$U$6</f>
        <v>2x R$ 0,00 / Total: R$ 0,00</v>
      </c>
      <c r="BC16" s="81"/>
    </row>
    <row r="17" spans="2:55" x14ac:dyDescent="0.25">
      <c r="B17" s="86"/>
      <c r="BA17" s="82"/>
      <c r="BB17" s="83"/>
      <c r="BC17" s="84"/>
    </row>
    <row r="18" spans="2:55" x14ac:dyDescent="0.25">
      <c r="B18" s="86"/>
      <c r="BA18" s="80"/>
      <c r="BB18" s="2"/>
      <c r="BC18" s="81"/>
    </row>
    <row r="19" spans="2:55" x14ac:dyDescent="0.25">
      <c r="B19" s="86"/>
      <c r="BA19" s="80"/>
      <c r="BB19" t="s">
        <v>46</v>
      </c>
      <c r="BC19" s="81"/>
    </row>
    <row r="20" spans="2:55" x14ac:dyDescent="0.25">
      <c r="B20" s="86"/>
      <c r="BA20" s="80"/>
      <c r="BC20" s="81"/>
    </row>
    <row r="21" spans="2:55" x14ac:dyDescent="0.25">
      <c r="B21" s="86"/>
      <c r="BA21" s="80"/>
      <c r="BB21" t="str">
        <f>'Tiragem - 1'!$U$12</f>
        <v>*250 unidades / R$ 0,00 a unidade*</v>
      </c>
      <c r="BC21" s="81"/>
    </row>
    <row r="22" spans="2:55" x14ac:dyDescent="0.25">
      <c r="B22" s="86"/>
      <c r="BA22" s="80"/>
      <c r="BB22" t="str">
        <f>'Tiragem - 1'!$U$13</f>
        <v>3x R$ 0,00 / Total: R$ 0,00</v>
      </c>
      <c r="BC22" s="81"/>
    </row>
    <row r="23" spans="2:55" x14ac:dyDescent="0.25">
      <c r="B23" s="86"/>
      <c r="BA23" s="80"/>
      <c r="BC23" s="81"/>
    </row>
    <row r="24" spans="2:55" x14ac:dyDescent="0.25">
      <c r="B24" s="86"/>
      <c r="BA24" s="80"/>
      <c r="BB24" t="str">
        <f>'Tiragem - 2'!$U$12</f>
        <v>*500 unidades / R$ 0,00 a unidade*</v>
      </c>
      <c r="BC24" s="81"/>
    </row>
    <row r="25" spans="2:55" x14ac:dyDescent="0.25">
      <c r="B25" s="86"/>
      <c r="BA25" s="80"/>
      <c r="BB25" t="str">
        <f>'Tiragem - 2'!$U$13</f>
        <v>3x R$ 0,00 / Total: R$ 0,00</v>
      </c>
      <c r="BC25" s="81"/>
    </row>
    <row r="26" spans="2:55" x14ac:dyDescent="0.25">
      <c r="B26" s="86"/>
      <c r="BA26" s="80"/>
      <c r="BB26" s="2"/>
      <c r="BC26" s="81"/>
    </row>
    <row r="27" spans="2:55" x14ac:dyDescent="0.25">
      <c r="B27" s="86"/>
      <c r="BA27" s="80"/>
      <c r="BB27" t="str">
        <f>'Tiragem - 3'!$U$12</f>
        <v>*1000 unidades / R$ 0,00 a unidade*</v>
      </c>
      <c r="BC27" s="81"/>
    </row>
    <row r="28" spans="2:55" x14ac:dyDescent="0.25">
      <c r="B28" s="86"/>
      <c r="BA28" s="80"/>
      <c r="BB28" t="str">
        <f>'Tiragem - 3'!$U$13</f>
        <v>3x R$ 0,00 / Total: R$ 0,00</v>
      </c>
      <c r="BC28" s="81"/>
    </row>
    <row r="29" spans="2:55" x14ac:dyDescent="0.25">
      <c r="B29" s="86"/>
      <c r="BA29" s="80"/>
      <c r="BC29" s="81"/>
    </row>
    <row r="30" spans="2:55" x14ac:dyDescent="0.25">
      <c r="B30" s="86"/>
      <c r="BA30" s="80"/>
      <c r="BB30" t="str">
        <f>'Tiragem - 4'!$U$12</f>
        <v>*2000 unidades / R$ 0,00 a unidade*</v>
      </c>
      <c r="BC30" s="81"/>
    </row>
    <row r="31" spans="2:55" x14ac:dyDescent="0.25">
      <c r="B31" s="86"/>
      <c r="BA31" s="80"/>
      <c r="BB31" t="str">
        <f>'Tiragem - 4'!$U$13</f>
        <v>3x R$ 0,00 / Total: R$ 0,00</v>
      </c>
      <c r="BC31" s="81"/>
    </row>
    <row r="32" spans="2:55" x14ac:dyDescent="0.25">
      <c r="B32" s="86"/>
      <c r="BA32" s="82"/>
      <c r="BB32" s="85"/>
      <c r="BC32" s="84"/>
    </row>
    <row r="33" spans="2:55" x14ac:dyDescent="0.25">
      <c r="B33" s="86"/>
      <c r="Q33" s="57"/>
      <c r="R33" s="57"/>
    </row>
    <row r="34" spans="2:55" ht="15.75" x14ac:dyDescent="0.25">
      <c r="B34" s="86"/>
      <c r="Q34" s="57"/>
      <c r="R34" s="57"/>
      <c r="BA34" s="133" t="s">
        <v>57</v>
      </c>
      <c r="BB34" s="134"/>
      <c r="BC34" s="135"/>
    </row>
    <row r="35" spans="2:55" x14ac:dyDescent="0.25">
      <c r="B35" s="86"/>
      <c r="Q35" s="57"/>
      <c r="R35" s="57"/>
      <c r="BA35" s="82"/>
      <c r="BB35" s="89" t="str">
        <f>_xlfn.XLOOKUP('Tiragem - 1'!B3,[2]Papel!$B$4:$B$500,[2]Papel!$C$4:$C$500,"Inválido",0,1)</f>
        <v>Inválido</v>
      </c>
      <c r="BC35" s="84"/>
    </row>
    <row r="36" spans="2:55" x14ac:dyDescent="0.25">
      <c r="B36" s="86"/>
    </row>
    <row r="37" spans="2:55" x14ac:dyDescent="0.25">
      <c r="B37" s="86"/>
    </row>
    <row r="38" spans="2:55" x14ac:dyDescent="0.25">
      <c r="B38" s="86"/>
    </row>
    <row r="39" spans="2:55" x14ac:dyDescent="0.25">
      <c r="B39" s="86"/>
    </row>
    <row r="40" spans="2:55" x14ac:dyDescent="0.25">
      <c r="B40" s="86"/>
    </row>
    <row r="41" spans="2:55" x14ac:dyDescent="0.25">
      <c r="B41" s="86"/>
    </row>
    <row r="42" spans="2:55" x14ac:dyDescent="0.25">
      <c r="B42" s="86"/>
    </row>
    <row r="43" spans="2:55" x14ac:dyDescent="0.25">
      <c r="B43" s="86"/>
    </row>
    <row r="44" spans="2:55" x14ac:dyDescent="0.25">
      <c r="B44" s="86"/>
    </row>
    <row r="45" spans="2:55" x14ac:dyDescent="0.25">
      <c r="B45" s="86"/>
    </row>
    <row r="46" spans="2:55" x14ac:dyDescent="0.25">
      <c r="B46" s="86"/>
    </row>
    <row r="47" spans="2:55" x14ac:dyDescent="0.25">
      <c r="B47" s="86"/>
    </row>
    <row r="48" spans="2:55" x14ac:dyDescent="0.25">
      <c r="B48" s="86"/>
    </row>
    <row r="49" spans="2:2" x14ac:dyDescent="0.25">
      <c r="B49" s="86"/>
    </row>
    <row r="50" spans="2:2" x14ac:dyDescent="0.25">
      <c r="B50" s="86"/>
    </row>
  </sheetData>
  <sheetProtection selectLockedCells="1" sort="0"/>
  <mergeCells count="3">
    <mergeCell ref="D2:E2"/>
    <mergeCell ref="BA2:BC2"/>
    <mergeCell ref="BA34:BC34"/>
  </mergeCells>
  <conditionalFormatting sqref="BB3:BB31">
    <cfRule type="containsText" dxfId="20" priority="1" operator="containsText" text="Selecione">
      <formula>NOT(ISERROR(SEARCH("Selecione",BB3)))</formula>
    </cfRule>
    <cfRule type="containsText" dxfId="19" priority="2" operator="containsText" text="Inválido">
      <formula>NOT(ISERROR(SEARCH("Inválido",BB3)))</formula>
    </cfRule>
    <cfRule type="containsText" dxfId="18" priority="3" operator="containsText" text="Não se aplica">
      <formula>NOT(ISERROR(SEARCH("Não se aplica",BB3)))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2EF4-59E4-489A-B8EA-02E400E89598}">
  <sheetPr codeName="Planilha7"/>
  <dimension ref="B1:N100"/>
  <sheetViews>
    <sheetView zoomScale="160" zoomScaleNormal="160" workbookViewId="0">
      <selection sqref="A1:K1048576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27" t="s">
        <v>102</v>
      </c>
      <c r="I2" s="127"/>
      <c r="J2" s="128" t="str">
        <f>IF(Especificações!E4=0,"",Especificações!E4)</f>
        <v/>
      </c>
      <c r="K2" s="128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29" t="s">
        <v>47</v>
      </c>
      <c r="D4" s="129"/>
      <c r="E4" s="118">
        <f ca="1">TODAY()</f>
        <v>45032</v>
      </c>
      <c r="F4" s="118"/>
      <c r="G4" s="118"/>
      <c r="H4" s="118"/>
      <c r="I4" s="118"/>
      <c r="J4" s="118"/>
      <c r="K4" s="118"/>
      <c r="L4" s="118"/>
      <c r="M4" s="118"/>
      <c r="N4" s="118"/>
    </row>
    <row r="5" spans="2:14" s="59" customFormat="1" x14ac:dyDescent="0.25">
      <c r="C5" s="78"/>
      <c r="D5" s="61"/>
      <c r="E5" s="61"/>
    </row>
    <row r="6" spans="2:14" x14ac:dyDescent="0.25">
      <c r="C6" s="77" t="s">
        <v>103</v>
      </c>
      <c r="D6" s="117" t="str">
        <f>IF(Especificações!C7=0,"",Especificações!C7)</f>
        <v/>
      </c>
      <c r="E6" s="117"/>
      <c r="F6" s="117"/>
      <c r="G6" s="117"/>
      <c r="H6" s="117"/>
      <c r="I6" s="117"/>
      <c r="J6" s="117"/>
      <c r="K6" s="117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104</v>
      </c>
      <c r="D8" s="117" t="str">
        <f>IF(Especificações!C10=0,"",Especificações!C10)</f>
        <v/>
      </c>
      <c r="E8" s="117"/>
      <c r="F8" s="117"/>
      <c r="G8" s="117"/>
      <c r="H8" s="117"/>
      <c r="I8" s="117"/>
      <c r="J8" s="117"/>
      <c r="K8" s="117"/>
    </row>
    <row r="9" spans="2:14" ht="7.5" customHeight="1" x14ac:dyDescent="0.25">
      <c r="C9" s="78"/>
      <c r="D9" s="60"/>
      <c r="E9" s="61"/>
    </row>
    <row r="10" spans="2:14" x14ac:dyDescent="0.25">
      <c r="C10" s="77" t="s">
        <v>105</v>
      </c>
      <c r="D10" s="117" t="str">
        <f>IF(Especificações!D12=0,"",Especificações!D12)</f>
        <v/>
      </c>
      <c r="E10" s="117"/>
      <c r="F10" s="117"/>
      <c r="G10" s="117"/>
      <c r="H10" s="117"/>
      <c r="I10" s="117"/>
      <c r="J10" s="117"/>
      <c r="K10" s="117"/>
    </row>
    <row r="11" spans="2:14" ht="6" customHeight="1" x14ac:dyDescent="0.25">
      <c r="C11" s="77"/>
      <c r="E11"/>
    </row>
    <row r="12" spans="2:14" ht="15" customHeight="1" x14ac:dyDescent="0.25">
      <c r="C12" s="77" t="s">
        <v>106</v>
      </c>
      <c r="D12" s="117" t="str">
        <f>IF(Especificações!D14=0,"",Especificações!D14)</f>
        <v/>
      </c>
      <c r="E12" s="117"/>
      <c r="F12" s="117"/>
      <c r="G12" s="117"/>
      <c r="H12" s="117"/>
      <c r="I12" s="117"/>
      <c r="J12" s="117"/>
      <c r="K12" s="117"/>
    </row>
    <row r="13" spans="2:14" ht="7.5" customHeight="1" x14ac:dyDescent="0.25">
      <c r="E13"/>
    </row>
    <row r="14" spans="2:14" ht="15.75" customHeight="1" x14ac:dyDescent="0.25">
      <c r="B14" s="130" t="str">
        <f>IF(Especificações!S4=0,"",Especificações!S4)</f>
        <v>Nome do Material</v>
      </c>
      <c r="C14" s="130"/>
      <c r="D14" s="130"/>
      <c r="E14" s="130"/>
      <c r="F14" s="130"/>
      <c r="G14" s="130"/>
      <c r="H14" s="130"/>
      <c r="I14" s="130"/>
      <c r="J14" s="130"/>
      <c r="K14" s="130"/>
    </row>
    <row r="15" spans="2:14" ht="15" customHeight="1" x14ac:dyDescent="0.25">
      <c r="B15" s="130"/>
      <c r="C15" s="130"/>
      <c r="D15" s="130"/>
      <c r="E15" s="130"/>
      <c r="F15" s="130"/>
      <c r="G15" s="130"/>
      <c r="H15" s="130"/>
      <c r="I15" s="130"/>
      <c r="J15" s="130"/>
      <c r="K15" s="130"/>
    </row>
    <row r="16" spans="2:14" ht="6" customHeight="1" x14ac:dyDescent="0.25">
      <c r="E16"/>
      <c r="F16"/>
      <c r="G16"/>
      <c r="H16"/>
    </row>
    <row r="17" spans="2:11" x14ac:dyDescent="0.25">
      <c r="B17" s="117" t="str">
        <f>IF(Especificações!S5=0,"",Especificações!S5)</f>
        <v>Tamanho: 5x10x20 cm</v>
      </c>
      <c r="C17" s="117"/>
      <c r="D17" s="117"/>
      <c r="E17" s="117"/>
      <c r="F17" s="117"/>
      <c r="G17" s="117" t="str">
        <f>IF(Especificações!S12=0,"",Especificações!S12)</f>
        <v>Acabamento / Complemento 1</v>
      </c>
      <c r="H17" s="117"/>
      <c r="I17" s="117"/>
      <c r="J17" s="117"/>
      <c r="K17" s="117"/>
    </row>
    <row r="18" spans="2:11" x14ac:dyDescent="0.25">
      <c r="B18" s="117" t="str">
        <f>IF(Especificações!S6=0,"",Especificações!S6)</f>
        <v>Largura: 5cm</v>
      </c>
      <c r="C18" s="117"/>
      <c r="D18" s="117"/>
      <c r="E18" s="117"/>
      <c r="F18" s="117"/>
      <c r="G18" s="117" t="str">
        <f>IF(Especificações!S13=0,"",Especificações!S13)</f>
        <v>Acabamento / Complemento 2</v>
      </c>
      <c r="H18" s="117"/>
      <c r="I18" s="117"/>
      <c r="J18" s="117"/>
      <c r="K18" s="117"/>
    </row>
    <row r="19" spans="2:11" x14ac:dyDescent="0.25">
      <c r="B19" s="117" t="str">
        <f>IF(Especificações!S7=0,"",Especificações!S7)</f>
        <v>Profundidade: 10cm</v>
      </c>
      <c r="C19" s="117"/>
      <c r="D19" s="117"/>
      <c r="E19" s="117"/>
      <c r="F19" s="117"/>
      <c r="G19" s="117" t="str">
        <f>IF(Especificações!S14=0,"",Especificações!S14)</f>
        <v>Acabamento / Complemento 3</v>
      </c>
      <c r="H19" s="117"/>
      <c r="I19" s="117"/>
      <c r="J19" s="117"/>
      <c r="K19" s="117"/>
    </row>
    <row r="20" spans="2:11" x14ac:dyDescent="0.25">
      <c r="B20" s="117" t="str">
        <f>IF(Especificações!S8=0,"",Especificações!S8)</f>
        <v>Altura: 20cm</v>
      </c>
      <c r="C20" s="117"/>
      <c r="D20" s="117"/>
      <c r="E20" s="117"/>
      <c r="F20" s="117"/>
      <c r="G20" s="117" t="str">
        <f>IF(Especificações!S15=0,"",Especificações!S15)</f>
        <v>Acabamento / Complemento 4</v>
      </c>
      <c r="H20" s="117"/>
      <c r="I20" s="117"/>
      <c r="J20" s="117"/>
      <c r="K20" s="117"/>
    </row>
    <row r="21" spans="2:11" x14ac:dyDescent="0.25">
      <c r="B21" s="117" t="str">
        <f>IF(Especificações!S9=0,"",Especificações!S9)</f>
        <v>Alça de  (consulte as cores disponíveis)</v>
      </c>
      <c r="C21" s="117"/>
      <c r="D21" s="117"/>
      <c r="E21" s="117"/>
      <c r="F21" s="117"/>
      <c r="G21" s="117" t="str">
        <f>IF(Especificações!S16=0,"",Especificações!S16)</f>
        <v>Acabamento / Complemento 5</v>
      </c>
      <c r="H21" s="117"/>
      <c r="I21" s="117"/>
      <c r="J21" s="117"/>
      <c r="K21" s="117"/>
    </row>
    <row r="22" spans="2:11" x14ac:dyDescent="0.25">
      <c r="B22" s="117" t="str">
        <f>IF(Especificações!S10=0,"",Especificações!S10)</f>
        <v>Papel: Inválido</v>
      </c>
      <c r="C22" s="117"/>
      <c r="D22" s="117"/>
      <c r="E22" s="117"/>
      <c r="F22" s="117"/>
      <c r="G22" s="117" t="str">
        <f>IF(Especificações!S17=0,"",Especificações!S17)</f>
        <v>Acabamento / Complemento 6</v>
      </c>
      <c r="H22" s="117"/>
      <c r="I22" s="117"/>
      <c r="J22" s="117"/>
      <c r="K22" s="117"/>
    </row>
    <row r="23" spans="2:11" x14ac:dyDescent="0.25">
      <c r="B23" s="117" t="str">
        <f>IF(Especificações!S11=0,"",Especificações!S11)</f>
        <v xml:space="preserve">Impressão: 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2:11" x14ac:dyDescent="0.25">
      <c r="E24"/>
      <c r="F24"/>
      <c r="G24"/>
      <c r="H24"/>
    </row>
    <row r="25" spans="2:11" x14ac:dyDescent="0.25">
      <c r="B25" s="126" t="s">
        <v>24</v>
      </c>
      <c r="C25" s="126"/>
      <c r="D25" s="126"/>
      <c r="E25" s="126"/>
      <c r="F25" s="126"/>
      <c r="G25" s="126"/>
      <c r="H25" s="126"/>
      <c r="I25" s="126"/>
      <c r="J25" s="126"/>
      <c r="K25" s="126"/>
    </row>
    <row r="26" spans="2:11" x14ac:dyDescent="0.25">
      <c r="B26" s="126" t="s">
        <v>25</v>
      </c>
      <c r="C26" s="126"/>
      <c r="D26" s="126"/>
      <c r="E26" s="126"/>
      <c r="F26" s="126"/>
      <c r="G26" s="126"/>
      <c r="H26" s="126"/>
      <c r="I26" s="126"/>
      <c r="J26" s="126"/>
      <c r="K26" s="126"/>
    </row>
    <row r="27" spans="2:11" x14ac:dyDescent="0.25">
      <c r="E27"/>
      <c r="F27"/>
      <c r="G27"/>
      <c r="H27"/>
    </row>
    <row r="28" spans="2:11" x14ac:dyDescent="0.25">
      <c r="C28" s="124" t="s">
        <v>1</v>
      </c>
      <c r="D28" s="124"/>
      <c r="E28" s="124" t="s">
        <v>9</v>
      </c>
      <c r="F28" s="124"/>
      <c r="G28" s="124" t="s">
        <v>18</v>
      </c>
      <c r="H28" s="124"/>
      <c r="I28" s="124" t="s">
        <v>20</v>
      </c>
      <c r="J28" s="124"/>
    </row>
    <row r="29" spans="2:11" x14ac:dyDescent="0.25">
      <c r="C29" s="124">
        <f>'Tiragem - 1'!$L$16</f>
        <v>250</v>
      </c>
      <c r="D29" s="124"/>
      <c r="E29" s="125">
        <f>'Tiragem - 1'!$L$22</f>
        <v>0</v>
      </c>
      <c r="F29" s="125"/>
      <c r="G29" s="38" t="s">
        <v>48</v>
      </c>
      <c r="H29" s="69">
        <f>'Tiragem - 1'!$L$20</f>
        <v>0</v>
      </c>
      <c r="I29" s="125">
        <f>'Tiragem - 1'!$L$21</f>
        <v>0</v>
      </c>
      <c r="J29" s="125"/>
    </row>
    <row r="30" spans="2:11" x14ac:dyDescent="0.25">
      <c r="C30" s="124">
        <f>'Tiragem - 2'!$L$16</f>
        <v>500</v>
      </c>
      <c r="D30" s="124"/>
      <c r="E30" s="125">
        <f>'Tiragem - 2'!$L$22</f>
        <v>0</v>
      </c>
      <c r="F30" s="125"/>
      <c r="G30" s="38" t="s">
        <v>48</v>
      </c>
      <c r="H30" s="69">
        <f>'Tiragem - 2'!$L$20</f>
        <v>0</v>
      </c>
      <c r="I30" s="125">
        <f>'Tiragem - 2'!$L$21</f>
        <v>0</v>
      </c>
      <c r="J30" s="125"/>
    </row>
    <row r="31" spans="2:11" x14ac:dyDescent="0.25">
      <c r="C31" s="124">
        <f>'Tiragem - 3'!$L$16</f>
        <v>1000</v>
      </c>
      <c r="D31" s="124"/>
      <c r="E31" s="125">
        <f>'Tiragem - 3'!$L$22</f>
        <v>0</v>
      </c>
      <c r="F31" s="125"/>
      <c r="G31" s="38" t="s">
        <v>48</v>
      </c>
      <c r="H31" s="69">
        <f>'Tiragem - 3'!$L$20</f>
        <v>0</v>
      </c>
      <c r="I31" s="125">
        <f>'Tiragem - 3'!$L$21</f>
        <v>0</v>
      </c>
      <c r="J31" s="125"/>
    </row>
    <row r="32" spans="2:11" x14ac:dyDescent="0.25">
      <c r="C32" s="124">
        <f>'Tiragem - 4'!$L$16</f>
        <v>2000</v>
      </c>
      <c r="D32" s="124"/>
      <c r="E32" s="125">
        <f>'Tiragem - 4'!$L$22</f>
        <v>0</v>
      </c>
      <c r="F32" s="125"/>
      <c r="G32" s="38" t="s">
        <v>48</v>
      </c>
      <c r="H32" s="69">
        <f>'Tiragem - 4'!$L$20</f>
        <v>0</v>
      </c>
      <c r="I32" s="125">
        <f>'Tiragem - 4'!$L$21</f>
        <v>0</v>
      </c>
      <c r="J32" s="125"/>
    </row>
    <row r="33" spans="2:11" x14ac:dyDescent="0.25">
      <c r="E33" s="57"/>
      <c r="F33" s="57"/>
      <c r="G33" s="57"/>
      <c r="H33" s="57"/>
    </row>
    <row r="34" spans="2:11" x14ac:dyDescent="0.25">
      <c r="B34" s="123" t="s">
        <v>46</v>
      </c>
      <c r="C34" s="123"/>
      <c r="D34" s="123"/>
      <c r="E34" s="123"/>
      <c r="F34" s="123"/>
      <c r="G34" s="123"/>
      <c r="H34" s="123"/>
      <c r="I34" s="123"/>
      <c r="J34" s="123"/>
      <c r="K34" s="123"/>
    </row>
    <row r="35" spans="2:11" x14ac:dyDescent="0.25">
      <c r="E35" s="57"/>
      <c r="F35" s="57"/>
      <c r="G35" s="57"/>
      <c r="H35" s="57"/>
    </row>
    <row r="36" spans="2:11" x14ac:dyDescent="0.25">
      <c r="C36" s="124" t="s">
        <v>1</v>
      </c>
      <c r="D36" s="124"/>
      <c r="E36" s="124" t="s">
        <v>9</v>
      </c>
      <c r="F36" s="124"/>
      <c r="G36" s="124" t="s">
        <v>18</v>
      </c>
      <c r="H36" s="124"/>
      <c r="I36" s="124" t="s">
        <v>20</v>
      </c>
      <c r="J36" s="124"/>
    </row>
    <row r="37" spans="2:11" x14ac:dyDescent="0.25">
      <c r="C37" s="119">
        <f>'Tiragem - 1'!$L$16</f>
        <v>250</v>
      </c>
      <c r="D37" s="120"/>
      <c r="E37" s="121">
        <f>'Tiragem - 1'!$L$26</f>
        <v>0</v>
      </c>
      <c r="F37" s="122"/>
      <c r="G37" s="70" t="str">
        <f>'Tiragem - 1'!$L$29&amp;"x"</f>
        <v>3x</v>
      </c>
      <c r="H37" s="69">
        <f>'Tiragem - 1'!$L$24</f>
        <v>0</v>
      </c>
      <c r="I37" s="121">
        <f>'Tiragem - 1'!$L$25</f>
        <v>0</v>
      </c>
      <c r="J37" s="122"/>
    </row>
    <row r="38" spans="2:11" x14ac:dyDescent="0.25">
      <c r="C38" s="119">
        <f>'Tiragem - 2'!$L$16</f>
        <v>500</v>
      </c>
      <c r="D38" s="120"/>
      <c r="E38" s="121">
        <f>'Tiragem - 2'!$L$26</f>
        <v>0</v>
      </c>
      <c r="F38" s="122"/>
      <c r="G38" s="70" t="str">
        <f>'Tiragem - 2'!$L$29&amp;"x"</f>
        <v>3x</v>
      </c>
      <c r="H38" s="69">
        <f>'Tiragem - 2'!$L$24</f>
        <v>0</v>
      </c>
      <c r="I38" s="121">
        <f>'Tiragem - 2'!$L$25</f>
        <v>0</v>
      </c>
      <c r="J38" s="122"/>
    </row>
    <row r="39" spans="2:11" x14ac:dyDescent="0.25">
      <c r="C39" s="119">
        <f>'Tiragem - 3'!$L$16</f>
        <v>1000</v>
      </c>
      <c r="D39" s="120"/>
      <c r="E39" s="121">
        <f>'Tiragem - 3'!$L$26</f>
        <v>0</v>
      </c>
      <c r="F39" s="122"/>
      <c r="G39" s="70" t="str">
        <f>'Tiragem - 3'!$L$29&amp;"x"</f>
        <v>3x</v>
      </c>
      <c r="H39" s="69">
        <f>'Tiragem - 3'!$L$24</f>
        <v>0</v>
      </c>
      <c r="I39" s="121">
        <f>'Tiragem - 3'!$L$25</f>
        <v>0</v>
      </c>
      <c r="J39" s="122"/>
    </row>
    <row r="40" spans="2:11" x14ac:dyDescent="0.25">
      <c r="C40" s="119">
        <f>'Tiragem - 4'!$L$16</f>
        <v>2000</v>
      </c>
      <c r="D40" s="120"/>
      <c r="E40" s="121">
        <f>'Tiragem - 4'!$L$26</f>
        <v>0</v>
      </c>
      <c r="F40" s="122"/>
      <c r="G40" s="70" t="str">
        <f>'Tiragem - 4'!$L$29&amp;"x"</f>
        <v>3x</v>
      </c>
      <c r="H40" s="69">
        <f>'Tiragem - 4'!$L$24</f>
        <v>0</v>
      </c>
      <c r="I40" s="121">
        <f>'Tiragem - 4'!$L$25</f>
        <v>0</v>
      </c>
      <c r="J40" s="122"/>
    </row>
    <row r="41" spans="2:11" x14ac:dyDescent="0.25">
      <c r="E41"/>
    </row>
    <row r="42" spans="2:11" ht="15" customHeight="1" x14ac:dyDescent="0.25">
      <c r="C42" s="114" t="s">
        <v>51</v>
      </c>
      <c r="D42" s="114"/>
      <c r="E42" s="114"/>
      <c r="F42" s="114"/>
      <c r="G42" s="114"/>
      <c r="H42" s="114"/>
      <c r="I42" s="114"/>
      <c r="J42" s="114"/>
    </row>
    <row r="43" spans="2:11" ht="15" customHeight="1" x14ac:dyDescent="0.25">
      <c r="C43" s="114"/>
      <c r="D43" s="114"/>
      <c r="E43" s="114"/>
      <c r="F43" s="114"/>
      <c r="G43" s="114"/>
      <c r="H43" s="114"/>
      <c r="I43" s="114"/>
      <c r="J43" s="114"/>
    </row>
    <row r="44" spans="2:11" x14ac:dyDescent="0.25">
      <c r="C44" s="114"/>
      <c r="D44" s="114"/>
      <c r="E44" s="114"/>
      <c r="F44" s="114"/>
      <c r="G44" s="114"/>
      <c r="H44" s="114"/>
      <c r="I44" s="114"/>
      <c r="J44" s="114"/>
    </row>
    <row r="45" spans="2:11" x14ac:dyDescent="0.25">
      <c r="E45"/>
    </row>
    <row r="46" spans="2:11" x14ac:dyDescent="0.25">
      <c r="C46" s="115" t="s">
        <v>44</v>
      </c>
      <c r="D46" s="115"/>
      <c r="E46" s="116" t="str">
        <f>IF(Especificações!E16=0,"",Especificações!E16)</f>
        <v/>
      </c>
      <c r="F46" s="116"/>
      <c r="G46" s="116"/>
      <c r="H46" s="116"/>
      <c r="I46" s="67" t="s">
        <v>45</v>
      </c>
      <c r="J46" s="76" t="s">
        <v>87</v>
      </c>
    </row>
    <row r="47" spans="2:11" ht="5.25" customHeight="1" x14ac:dyDescent="0.25">
      <c r="E47"/>
    </row>
    <row r="48" spans="2:11" x14ac:dyDescent="0.25">
      <c r="C48" s="117" t="str">
        <f>"Previsão "&amp;Especificações!E18&amp;" dias úteis após confirmação da arte e pagamento"</f>
        <v>Previsão 5 dias úteis após confirmação da arte e pagamento</v>
      </c>
      <c r="D48" s="117"/>
      <c r="E48" s="117"/>
      <c r="F48" s="117"/>
      <c r="G48" s="117"/>
      <c r="H48" s="117"/>
      <c r="I48" s="117"/>
      <c r="J48" s="117"/>
      <c r="K48" s="117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C42:J44"/>
    <mergeCell ref="C46:D46"/>
    <mergeCell ref="E46:H46"/>
    <mergeCell ref="C48:K48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  <mergeCell ref="I38:J38"/>
    <mergeCell ref="C32:D32"/>
    <mergeCell ref="E32:F32"/>
    <mergeCell ref="I32:J32"/>
    <mergeCell ref="B34:K34"/>
    <mergeCell ref="C36:D36"/>
    <mergeCell ref="E36:F36"/>
    <mergeCell ref="G36:H36"/>
    <mergeCell ref="I36:J36"/>
    <mergeCell ref="C30:D30"/>
    <mergeCell ref="E30:F30"/>
    <mergeCell ref="I30:J30"/>
    <mergeCell ref="C31:D31"/>
    <mergeCell ref="E31:F31"/>
    <mergeCell ref="I31:J31"/>
    <mergeCell ref="B20:F20"/>
    <mergeCell ref="G20:K20"/>
    <mergeCell ref="C29:D29"/>
    <mergeCell ref="E29:F29"/>
    <mergeCell ref="I29:J29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B17:F17"/>
    <mergeCell ref="G17:K17"/>
    <mergeCell ref="B18:F18"/>
    <mergeCell ref="G18:K18"/>
    <mergeCell ref="B19:F19"/>
    <mergeCell ref="G19:K19"/>
    <mergeCell ref="L4:N4"/>
    <mergeCell ref="D8:K8"/>
    <mergeCell ref="D10:K10"/>
    <mergeCell ref="D12:K12"/>
    <mergeCell ref="B14:K15"/>
    <mergeCell ref="D6:K6"/>
    <mergeCell ref="H2:I2"/>
    <mergeCell ref="J2:K2"/>
    <mergeCell ref="C4:D4"/>
    <mergeCell ref="E4:K4"/>
  </mergeCells>
  <dataValidations count="6">
    <dataValidation allowBlank="1" showInputMessage="1" showErrorMessage="1" prompt="Insira a Economia mensal nesta planilha" sqref="C2:C3" xr:uid="{A6BA280F-E718-4513-B04E-E365A94B6A39}"/>
    <dataValidation allowBlank="1" showInputMessage="1" showErrorMessage="1" prompt="O título é atualizado automaticamente nesta célula" sqref="D2:D3" xr:uid="{1ED4E5B3-81C1-4C29-9548-719C4E5330F8}"/>
    <dataValidation allowBlank="1" showInputMessage="1" showErrorMessage="1" prompt="Insira as Economias mensais na tabela abaixo" sqref="L4" xr:uid="{71E31131-EB8F-4437-94FB-BC31B1D39D7A}"/>
    <dataValidation allowBlank="1" showErrorMessage="1" prompt="Insira as Economias mensais na tabela abaixo" sqref="E4:K4" xr:uid="{71B50210-F961-427B-9297-7D291A4060BC}"/>
    <dataValidation allowBlank="1" showInputMessage="1" showErrorMessage="1" prompt="Insira a Data do depósito da poupança nesta coluna sob este cabeçalho. Use filtros de cabeçalho para encontrar entradas específicas" sqref="D5" xr:uid="{593CCFE3-BB8F-41DB-9DE9-917FF06A9EB5}"/>
    <dataValidation allowBlank="1" showInputMessage="1" showErrorMessage="1" prompt="Insira o Valor nesta coluna sob este cabeçalho" sqref="E5" xr:uid="{0566A407-8E94-49D2-A192-832EE184B698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 - Backup</vt:lpstr>
      <vt:lpstr>PDF!Area_de_impressao</vt:lpstr>
      <vt:lpstr>'PDF - Backup'!Area_de_impressao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2023-04-16T05:46:54Z</dcterms:modified>
  <cp:category/>
  <cp:contentStatus/>
</cp:coreProperties>
</file>